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d.docs.live.net/e263e3681b796429/TRI DUONG GROUP/QUẢN TRỊ/"/>
    </mc:Choice>
  </mc:AlternateContent>
  <xr:revisionPtr revIDLastSave="0" documentId="8_{0947179E-3552-4D0F-9464-1D439A2F97D4}" xr6:coauthVersionLast="47" xr6:coauthVersionMax="47" xr10:uidLastSave="{00000000-0000-0000-0000-000000000000}"/>
  <bookViews>
    <workbookView xWindow="47120" yWindow="-4270" windowWidth="19360" windowHeight="10960" tabRatio="903" firstSheet="2" activeTab="2" xr2:uid="{00000000-000D-0000-FFFF-FFFF00000000}"/>
  </bookViews>
  <sheets>
    <sheet name="00_Huong dan" sheetId="1" r:id="rId1"/>
    <sheet name="DASHBOARD" sheetId="9" r:id="rId2"/>
    <sheet name="BANG TONG HOP" sheetId="2" r:id="rId3"/>
    <sheet name="01_HSo TienKC" sheetId="3" r:id="rId4"/>
    <sheet name="02_KH Thang_Tuan" sheetId="4" r:id="rId5"/>
    <sheet name="03_Phat sinh" sheetId="5" r:id="rId6"/>
    <sheet name="04_CU dac thu" sheetId="6" r:id="rId7"/>
    <sheet name="05_Bu tien do" sheetId="7" r:id="rId8"/>
    <sheet name="DM_Danh muc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9" i="2" l="1"/>
  <c r="AJ10" i="2"/>
  <c r="AK10" i="2"/>
  <c r="AL10" i="2"/>
  <c r="AJ11" i="2"/>
  <c r="AK11" i="2"/>
  <c r="AL11" i="2"/>
  <c r="AJ12" i="2"/>
  <c r="AK12" i="2"/>
  <c r="AL12" i="2"/>
  <c r="AJ13" i="2"/>
  <c r="AK13" i="2"/>
  <c r="AL13" i="2"/>
  <c r="AJ14" i="2"/>
  <c r="AK14" i="2"/>
  <c r="AL14" i="2"/>
  <c r="C29" i="9"/>
  <c r="C28" i="9"/>
  <c r="C27" i="9"/>
  <c r="C26" i="9"/>
  <c r="C23" i="9"/>
  <c r="C13" i="9"/>
  <c r="C10" i="9"/>
  <c r="C9" i="9"/>
  <c r="C6" i="9"/>
  <c r="AL45" i="2"/>
  <c r="AK45" i="2"/>
  <c r="AJ45" i="2"/>
  <c r="AI45" i="2"/>
  <c r="AE45" i="2"/>
  <c r="AC45" i="2"/>
  <c r="AB45" i="2"/>
  <c r="AA45" i="2"/>
  <c r="Z45" i="2"/>
  <c r="U45" i="2"/>
  <c r="AL44" i="2"/>
  <c r="AK44" i="2"/>
  <c r="AJ44" i="2"/>
  <c r="AI44" i="2"/>
  <c r="AE44" i="2"/>
  <c r="AC44" i="2"/>
  <c r="AB44" i="2"/>
  <c r="AA44" i="2"/>
  <c r="Z44" i="2"/>
  <c r="U44" i="2"/>
  <c r="AL43" i="2"/>
  <c r="AK43" i="2"/>
  <c r="AJ43" i="2"/>
  <c r="AI43" i="2"/>
  <c r="AE43" i="2"/>
  <c r="AC43" i="2"/>
  <c r="AB43" i="2"/>
  <c r="AA43" i="2"/>
  <c r="Z43" i="2"/>
  <c r="U43" i="2"/>
  <c r="AL42" i="2"/>
  <c r="AK42" i="2"/>
  <c r="AJ42" i="2"/>
  <c r="AI42" i="2"/>
  <c r="AE42" i="2"/>
  <c r="AC42" i="2"/>
  <c r="AB42" i="2"/>
  <c r="AA42" i="2"/>
  <c r="Z42" i="2"/>
  <c r="U42" i="2"/>
  <c r="AL41" i="2"/>
  <c r="AK41" i="2"/>
  <c r="AJ41" i="2"/>
  <c r="AI41" i="2"/>
  <c r="AE41" i="2"/>
  <c r="AC41" i="2"/>
  <c r="AB41" i="2"/>
  <c r="AA41" i="2"/>
  <c r="Z41" i="2"/>
  <c r="U41" i="2"/>
  <c r="AL40" i="2"/>
  <c r="AK40" i="2"/>
  <c r="AJ40" i="2"/>
  <c r="AI40" i="2"/>
  <c r="AE40" i="2"/>
  <c r="AC40" i="2"/>
  <c r="AB40" i="2"/>
  <c r="AA40" i="2"/>
  <c r="Z40" i="2"/>
  <c r="U40" i="2"/>
  <c r="AL39" i="2"/>
  <c r="AK39" i="2"/>
  <c r="AJ39" i="2"/>
  <c r="AI39" i="2"/>
  <c r="AE39" i="2"/>
  <c r="AC39" i="2"/>
  <c r="AB39" i="2"/>
  <c r="AA39" i="2"/>
  <c r="Z39" i="2"/>
  <c r="U39" i="2"/>
  <c r="AL38" i="2"/>
  <c r="AK38" i="2"/>
  <c r="AJ38" i="2"/>
  <c r="AI38" i="2"/>
  <c r="AE38" i="2"/>
  <c r="AC38" i="2"/>
  <c r="AB38" i="2"/>
  <c r="AA38" i="2"/>
  <c r="Z38" i="2"/>
  <c r="U38" i="2"/>
  <c r="AL37" i="2"/>
  <c r="AK37" i="2"/>
  <c r="AJ37" i="2"/>
  <c r="AI37" i="2"/>
  <c r="AE37" i="2"/>
  <c r="AC37" i="2"/>
  <c r="AB37" i="2"/>
  <c r="AA37" i="2"/>
  <c r="Z37" i="2"/>
  <c r="U37" i="2"/>
  <c r="AL36" i="2"/>
  <c r="AK36" i="2"/>
  <c r="AJ36" i="2"/>
  <c r="AI36" i="2"/>
  <c r="AE36" i="2"/>
  <c r="AC36" i="2"/>
  <c r="AB36" i="2"/>
  <c r="AA36" i="2"/>
  <c r="Z36" i="2"/>
  <c r="U36" i="2"/>
  <c r="AL35" i="2"/>
  <c r="AK35" i="2"/>
  <c r="AJ35" i="2"/>
  <c r="AI35" i="2"/>
  <c r="AE35" i="2"/>
  <c r="AC35" i="2"/>
  <c r="AB35" i="2"/>
  <c r="AA35" i="2"/>
  <c r="Z35" i="2"/>
  <c r="U35" i="2"/>
  <c r="AL34" i="2"/>
  <c r="AK34" i="2"/>
  <c r="AJ34" i="2"/>
  <c r="AI34" i="2"/>
  <c r="AE34" i="2"/>
  <c r="AC34" i="2"/>
  <c r="AB34" i="2"/>
  <c r="AA34" i="2"/>
  <c r="Z34" i="2"/>
  <c r="U34" i="2"/>
  <c r="AL33" i="2"/>
  <c r="AK33" i="2"/>
  <c r="AJ33" i="2"/>
  <c r="AI33" i="2"/>
  <c r="AE33" i="2"/>
  <c r="AC33" i="2"/>
  <c r="AB33" i="2"/>
  <c r="AA33" i="2"/>
  <c r="Z33" i="2"/>
  <c r="U33" i="2"/>
  <c r="AL32" i="2"/>
  <c r="AK32" i="2"/>
  <c r="AJ32" i="2"/>
  <c r="AI32" i="2"/>
  <c r="AE32" i="2"/>
  <c r="AC32" i="2"/>
  <c r="AB32" i="2"/>
  <c r="AA32" i="2"/>
  <c r="Z32" i="2"/>
  <c r="U32" i="2"/>
  <c r="AL31" i="2"/>
  <c r="AK31" i="2"/>
  <c r="AJ31" i="2"/>
  <c r="AI31" i="2"/>
  <c r="AE31" i="2"/>
  <c r="AC31" i="2"/>
  <c r="AB31" i="2"/>
  <c r="AA31" i="2"/>
  <c r="Z31" i="2"/>
  <c r="U31" i="2"/>
  <c r="AL30" i="2"/>
  <c r="AK30" i="2"/>
  <c r="AJ30" i="2"/>
  <c r="AI30" i="2"/>
  <c r="AE30" i="2"/>
  <c r="AC30" i="2"/>
  <c r="AB30" i="2"/>
  <c r="AA30" i="2"/>
  <c r="Z30" i="2"/>
  <c r="U30" i="2"/>
  <c r="AL29" i="2"/>
  <c r="AK29" i="2"/>
  <c r="AJ29" i="2"/>
  <c r="AI29" i="2"/>
  <c r="AE29" i="2"/>
  <c r="AB29" i="2"/>
  <c r="AA29" i="2"/>
  <c r="Z29" i="2"/>
  <c r="U29" i="2"/>
  <c r="AL28" i="2"/>
  <c r="AK28" i="2"/>
  <c r="AJ28" i="2"/>
  <c r="AI28" i="2"/>
  <c r="AE28" i="2"/>
  <c r="AC28" i="2"/>
  <c r="AB28" i="2"/>
  <c r="AA28" i="2"/>
  <c r="Z28" i="2"/>
  <c r="U28" i="2"/>
  <c r="AL27" i="2"/>
  <c r="AK27" i="2"/>
  <c r="AJ27" i="2"/>
  <c r="AI27" i="2"/>
  <c r="AE27" i="2"/>
  <c r="AC27" i="2"/>
  <c r="AB27" i="2"/>
  <c r="AA27" i="2"/>
  <c r="Z27" i="2"/>
  <c r="U27" i="2"/>
  <c r="AL26" i="2"/>
  <c r="AK26" i="2"/>
  <c r="AJ26" i="2"/>
  <c r="AI26" i="2"/>
  <c r="AE26" i="2"/>
  <c r="AC26" i="2"/>
  <c r="AB26" i="2"/>
  <c r="AA26" i="2"/>
  <c r="Z26" i="2"/>
  <c r="U26" i="2"/>
  <c r="AL25" i="2"/>
  <c r="AK25" i="2"/>
  <c r="AJ25" i="2"/>
  <c r="AI25" i="2"/>
  <c r="AE25" i="2"/>
  <c r="AC25" i="2"/>
  <c r="AB25" i="2"/>
  <c r="AA25" i="2"/>
  <c r="Z25" i="2"/>
  <c r="U25" i="2"/>
  <c r="AL24" i="2"/>
  <c r="AK24" i="2"/>
  <c r="AJ24" i="2"/>
  <c r="AI24" i="2"/>
  <c r="AE24" i="2"/>
  <c r="AC24" i="2"/>
  <c r="AB24" i="2"/>
  <c r="AA24" i="2"/>
  <c r="Z24" i="2"/>
  <c r="U24" i="2"/>
  <c r="AL23" i="2"/>
  <c r="AK23" i="2"/>
  <c r="AJ23" i="2"/>
  <c r="AI23" i="2"/>
  <c r="AE23" i="2"/>
  <c r="AC23" i="2"/>
  <c r="AB23" i="2"/>
  <c r="AA23" i="2"/>
  <c r="Z23" i="2"/>
  <c r="U23" i="2"/>
  <c r="AL22" i="2"/>
  <c r="AK22" i="2"/>
  <c r="AJ22" i="2"/>
  <c r="AI22" i="2"/>
  <c r="AE22" i="2"/>
  <c r="AC22" i="2"/>
  <c r="AB22" i="2"/>
  <c r="AA22" i="2"/>
  <c r="Z22" i="2"/>
  <c r="U22" i="2"/>
  <c r="AL21" i="2"/>
  <c r="AK21" i="2"/>
  <c r="AJ21" i="2"/>
  <c r="AI21" i="2"/>
  <c r="AE21" i="2"/>
  <c r="AC21" i="2"/>
  <c r="AB21" i="2"/>
  <c r="AA21" i="2"/>
  <c r="Z21" i="2"/>
  <c r="U21" i="2"/>
  <c r="AL20" i="2"/>
  <c r="AK20" i="2"/>
  <c r="AJ20" i="2"/>
  <c r="AI20" i="2"/>
  <c r="AE20" i="2"/>
  <c r="AC20" i="2"/>
  <c r="AB20" i="2"/>
  <c r="AA20" i="2"/>
  <c r="Z20" i="2"/>
  <c r="U20" i="2"/>
  <c r="AL19" i="2"/>
  <c r="AK19" i="2"/>
  <c r="AJ19" i="2"/>
  <c r="AI19" i="2"/>
  <c r="AE19" i="2"/>
  <c r="AC19" i="2"/>
  <c r="AB19" i="2"/>
  <c r="AA19" i="2"/>
  <c r="Z19" i="2"/>
  <c r="U19" i="2"/>
  <c r="AL18" i="2"/>
  <c r="AK18" i="2"/>
  <c r="AJ18" i="2"/>
  <c r="AI18" i="2"/>
  <c r="AE18" i="2"/>
  <c r="AC18" i="2"/>
  <c r="AB18" i="2"/>
  <c r="AA18" i="2"/>
  <c r="Z18" i="2"/>
  <c r="U18" i="2"/>
  <c r="AL17" i="2"/>
  <c r="AK17" i="2"/>
  <c r="AJ17" i="2"/>
  <c r="AI17" i="2"/>
  <c r="AE17" i="2"/>
  <c r="AC17" i="2"/>
  <c r="AB17" i="2"/>
  <c r="AA17" i="2"/>
  <c r="Z17" i="2"/>
  <c r="U17" i="2"/>
  <c r="AL16" i="2"/>
  <c r="AK16" i="2"/>
  <c r="AJ16" i="2"/>
  <c r="AI16" i="2"/>
  <c r="AE16" i="2"/>
  <c r="AC16" i="2"/>
  <c r="AB16" i="2"/>
  <c r="AA16" i="2"/>
  <c r="Z16" i="2"/>
  <c r="U16" i="2"/>
  <c r="AL15" i="2"/>
  <c r="AK15" i="2"/>
  <c r="AJ15" i="2"/>
  <c r="AI15" i="2"/>
  <c r="AE15" i="2"/>
  <c r="AC15" i="2"/>
  <c r="AB15" i="2"/>
  <c r="AA15" i="2"/>
  <c r="Z15" i="2"/>
  <c r="U15" i="2"/>
  <c r="AL9" i="2"/>
  <c r="AK9" i="2"/>
  <c r="AJ9" i="2"/>
  <c r="AI9" i="2"/>
  <c r="AE9" i="2"/>
  <c r="AC9" i="2"/>
  <c r="AB9" i="2"/>
  <c r="AA9" i="2"/>
  <c r="Z9" i="2"/>
  <c r="AL8" i="2"/>
  <c r="AK8" i="2"/>
  <c r="AJ8" i="2"/>
  <c r="AI8" i="2"/>
  <c r="AE8" i="2"/>
  <c r="AC8" i="2"/>
  <c r="AB8" i="2"/>
  <c r="AA8" i="2"/>
  <c r="Z8" i="2"/>
  <c r="U8" i="2"/>
  <c r="AL7" i="2"/>
  <c r="AK7" i="2"/>
  <c r="AJ7" i="2"/>
  <c r="AI7" i="2"/>
  <c r="AE7" i="2"/>
  <c r="AB7" i="2"/>
  <c r="AA7" i="2"/>
  <c r="Z7" i="2"/>
  <c r="U7" i="2"/>
  <c r="AL6" i="2"/>
  <c r="AK6" i="2"/>
  <c r="AJ6" i="2"/>
  <c r="AI6" i="2"/>
  <c r="AE6" i="2"/>
  <c r="AB6" i="2"/>
  <c r="AA6" i="2"/>
  <c r="Z6" i="2"/>
  <c r="U6" i="2"/>
  <c r="C16" i="9" l="1"/>
  <c r="C15" i="9"/>
  <c r="C14" i="9"/>
  <c r="AC6" i="2"/>
  <c r="AC29" i="2"/>
  <c r="AC7" i="2"/>
  <c r="C7" i="9" l="1"/>
  <c r="C8" i="9"/>
  <c r="C19" i="9" l="1"/>
  <c r="C20" i="9"/>
  <c r="C21" i="9"/>
  <c r="C22" i="9"/>
</calcChain>
</file>

<file path=xl/sharedStrings.xml><?xml version="1.0" encoding="utf-8"?>
<sst xmlns="http://schemas.openxmlformats.org/spreadsheetml/2006/main" count="644" uniqueCount="395">
  <si>
    <t>HƯỚNG DẪN SỬ DỤNG – HỆ THỐNG KIỂM SOÁT KHÉP KÍN VÒNG ĐỜI GÓI THẦU (v1)</t>
  </si>
  <si>
    <t>1. BẢN ĐỒ SHEET</t>
  </si>
  <si>
    <t>• BANG TONG HOP: bảng xương sống – mỗi hạng mục 1 dòng, đi từ đầu vào CĐT → KHCU → KHTK → cổng khởi công → quản lý sau khởi công → cảnh báo.</t>
  </si>
  <si>
    <t>• 01_HSo TienKC: sổ lưu LINK sản phẩm các bước tiền khởi công đã hoàn thành (HSTKTC, SPECS, BOQ, KQ LCNT, HĐCU, KHCU, PLHĐ, KHTK).</t>
  </si>
  <si>
    <t>• 02_KH Thang_Tuan: kế hoạch triển khai theo tháng – 5 tài liệu bắt buộc (BPTC, KH cung ứng, biểu đồ nhân lực, biểu đồ máy móc thiết bị, biểu đồ cung ứng) + lập/duyệt.</t>
  </si>
  <si>
    <t>• 03_Phat sinh: phát sinh &amp; sai khác – làm rõ, ghi nhận, phê duyệt, cập nhật điều chỉnh (KH→KQ).</t>
  </si>
  <si>
    <t>• 04_CU dac thu: yêu cầu cung ứng đặc thù/đột xuất – ghi nhận, phê duyệt, kiểm soát.</t>
  </si>
  <si>
    <t>• 05_Bu tien do: phương án bù tiến độ khi chậm (tăng ca, đổi BPTC, thêm nguồn lực).</t>
  </si>
  <si>
    <t>• DM_Danh muc: danh mục chuẩn cho dropdown.  • DASHBOARD: tổng hợp tự động.</t>
  </si>
  <si>
    <t>2. KHÓA LIÊN KẾT = MÃ BSC</t>
  </si>
  <si>
    <t>Mọi sổ đều có cột 'Mã BSC' trỏ về hạng mục trong BANG TONG HOP. Master tự đếm ngược từ các sổ (cột F: tài liệu tháng, phát sinh, cung ứng đột xuất, bù tiến độ) → tạo vòng khép kín 'link về tổng thể'.</t>
  </si>
  <si>
    <t>3. QUY TẮC NHẬP LIỆU (đã chuẩn hóa)</t>
  </si>
  <si>
    <t>• Cột 'KH ...' = NGÀY kế hoạch (định dạng ngày). Cột 'TT ...' = TRẠNG THÁI (chọn dropdown). KHÔNG nhập lẫn ngày vào cột trạng thái.</t>
  </si>
  <si>
    <t>• Ô nền xám = công thức tự động (cổng, % , ĐK1-3, cột F, cờ cảnh báo) – không gõ tay.</t>
  </si>
  <si>
    <t>• Hạng mục thành phần (WBS) để trống các cột tiến trình – cổng sẽ tự để trống.</t>
  </si>
  <si>
    <t>4. TIỀN KHỞI CÔNG – GẮN LINK SẢN PHẨM</t>
  </si>
  <si>
    <t>Mỗi bước hoàn thành → mở sổ 01, thêm dòng (Mã BSC, loại hồ sơ, tên sản phẩm, dán LINK lưu trữ, người duyệt, TT duyệt = 'Đã duyệt'). Master cột 'HS tiền KC (duyệt)' tự đếm; đủ 8 loại mới hết cảnh báo VÀNG.</t>
  </si>
  <si>
    <t>CỔNG KHỞI CÔNG = ĐỦ ĐK chỉ khi: (HSTKTC phát hành/hoàn thiện + BOQ bàn giao) VÀ HĐCU 'Đã CU' VÀ KHTK 'Đã duyệt'. Thiếu 1 → THIẾU ĐK, không khởi công.</t>
  </si>
  <si>
    <t>5. SAU KHỞI CÔNG – BÁO CÁO THÁNG/TUẦN</t>
  </si>
  <si>
    <t>• Mục E trong master: nhập % KH vs % KQ theo tháng và 4 tuần + đánh giá/giải pháp. KQ tuần &lt; KH → cảnh báo chậm.</t>
  </si>
  <si>
    <t>• Sổ 02: đầu mỗi tháng lập đủ 5 tài liệu, đánh dấu 'Đạt YCKT CĐT', dán link, trình duyệt. Thiếu duyệt sẽ thấy ở cột 'Tài liệu KH tháng (duyệt/tổng)'.</t>
  </si>
  <si>
    <t>• Phát sinh/sai khác → sổ 03; cung ứng đặc thù/đột xuất → sổ 04; chậm cần bù → sổ 05. Khi chưa duyệt/đang chạy, master tự bật cảnh báo CAM.</t>
  </si>
  <si>
    <t>6. CỜ CẢNH BÁO (ưu tiên)</t>
  </si>
  <si>
    <t>ĐỎ: khởi công thiếu ĐK · vượt ngân sách · chậm HSTKTC.  CAM: phát sinh chưa duyệt · cung ứng đột xuất chờ duyệt · đang bù tiến độ · chậm KQ LCNT · chậm tiến độ tháng.  VÀNG: chưa lưu đủ hồ sơ tiền KC.  XANH: bình thường.</t>
  </si>
  <si>
    <t>CHUỖI MẪU: hạng mục CT-01 (Nhà mẫu) đã được đẩy chạy hết vòng đời (đủ ĐK → khởi công 01/06/2026 → báo cáo tháng 6 → có phát sinh, cung ứng đột xuất, bù tiến độ) để minh họa toàn hệ.</t>
  </si>
  <si>
    <t>DASHBOARD ĐIỀU HÀNH – TỰ ĐỘNG TỪ TOÀN HỆ THỐNG</t>
  </si>
  <si>
    <t>(Làm mới khi mở/recalc. Vùng master: dòng 6–40; vùng sổ: dòng 3–100)</t>
  </si>
  <si>
    <t>① TIỀN KHỞI CÔNG (chốt chặn)</t>
  </si>
  <si>
    <t>Tổng hạng mục có Mã theo dõi</t>
  </si>
  <si>
    <t>Đủ ĐK khởi công</t>
  </si>
  <si>
    <t>Thiếu ĐK khởi công</t>
  </si>
  <si>
    <t>Đã khởi công (có ngày BĐ)</t>
  </si>
  <si>
    <t>Hồ sơ tiền KC đã lưu (sổ 01)</t>
  </si>
  <si>
    <t>② SAU KHỞI CÔNG (báo cáo &amp; kiểm soát)</t>
  </si>
  <si>
    <t>Tài liệu KH tháng đã duyệt / tổng (sổ 02)</t>
  </si>
  <si>
    <t>Phát sinh/sai khác chưa duyệt (sổ 03)</t>
  </si>
  <si>
    <t>YC cung ứng đột xuất chờ duyệt (sổ 04)</t>
  </si>
  <si>
    <t>Phương án bù tiến độ đang chạy (sổ 05)</t>
  </si>
  <si>
    <t>③ CẢNH BÁO TỔNG HỢP</t>
  </si>
  <si>
    <t>Cảnh báo ĐỎ</t>
  </si>
  <si>
    <t>Cảnh báo CAM</t>
  </si>
  <si>
    <t>Cảnh báo VÀNG</t>
  </si>
  <si>
    <t>Bình thường (XANH)</t>
  </si>
  <si>
    <t>Rủi ro mức Cao</t>
  </si>
  <si>
    <t>④ TÀI CHÍNH (tỷ VNĐ)</t>
  </si>
  <si>
    <t>Tổng ngân sách CĐT</t>
  </si>
  <si>
    <t>Tổng giá trị HĐCU</t>
  </si>
  <si>
    <t>Tổng giá trị phát sinh (sổ 03)</t>
  </si>
  <si>
    <t>Tổng giá trị cung ứng đột xuất (sổ 04)</t>
  </si>
  <si>
    <t>QUY TẮC VÀNG: Không HSTKTC → Không cung ứng + Không HDTC → Không thi công</t>
  </si>
  <si>
    <t>HỆ THỐNG KIỂM SOÁT KHÉP KÍN VÒNG ĐỜI GÓI THẦU THI CÔNG – BẢNG TỔNG HỢP (v1)</t>
  </si>
  <si>
    <t>Dự án KĐT Ven sông Vinh | Ô nền xám = công thức tự động | Cột F &amp; G tự liên kết 5 sổ đăng ký | Chuỗi mẫu: CT-01 chạy hết vòng đời</t>
  </si>
  <si>
    <t>0. ĐỊNH DANH</t>
  </si>
  <si>
    <t>A. ĐẦU VÀO CĐT (Tiến độ – Ngân sách – HSKT)</t>
  </si>
  <si>
    <t>B. KẾ HOẠCH CUNG ỨNG (KHCU)</t>
  </si>
  <si>
    <t>C. KẾ HOẠCH TRIỂN KHAI (KHTK)</t>
  </si>
  <si>
    <t>D. CHỐT CHẶN ĐIỀU KIỆN KHỞI CÔNG</t>
  </si>
  <si>
    <t>E. QUẢN LÝ NGÂN SÁCH THỰC HIỆN</t>
  </si>
  <si>
    <t>THÁNG 06/2026</t>
  </si>
  <si>
    <t>TT</t>
  </si>
  <si>
    <t>Mã BSC</t>
  </si>
  <si>
    <t>Gói thầu (PL)</t>
  </si>
  <si>
    <t>Nhóm CT</t>
  </si>
  <si>
    <t>Hạng mục / Công việc</t>
  </si>
  <si>
    <t>Phụ trách</t>
  </si>
  <si>
    <t>Ngày BĐ (YC CĐT)</t>
  </si>
  <si>
    <t>Ngày KT (YC CĐT)</t>
  </si>
  <si>
    <t>Ngân sách (tỷ)</t>
  </si>
  <si>
    <t>KH phát hành HSTKTC</t>
  </si>
  <si>
    <t>TT HSTKTC</t>
  </si>
  <si>
    <t>TT SPECS</t>
  </si>
  <si>
    <t>TT BOQ/KL</t>
  </si>
  <si>
    <t>KH LCNT</t>
  </si>
  <si>
    <t>TT LCNT</t>
  </si>
  <si>
    <t>KH Ký HĐCU</t>
  </si>
  <si>
    <t>TT Ký HĐCU</t>
  </si>
  <si>
    <t>KH PD KHCU</t>
  </si>
  <si>
    <t>TT KHCU</t>
  </si>
  <si>
    <t>Giá trị HĐCU (tỷ)</t>
  </si>
  <si>
    <t>% HĐCU/NS</t>
  </si>
  <si>
    <t>KH ký PLHĐ CĐT</t>
  </si>
  <si>
    <t>TT Ký PLHĐ CĐT</t>
  </si>
  <si>
    <t>KH PD KHTK</t>
  </si>
  <si>
    <t>TT KHTK</t>
  </si>
  <si>
    <t>ĐK1 HSKT đủ</t>
  </si>
  <si>
    <t>ĐK2 HĐCU ký</t>
  </si>
  <si>
    <t>ĐK3 KHTK duyệt</t>
  </si>
  <si>
    <t>ĐIỀU KIỆN ĐỦ</t>
  </si>
  <si>
    <t>NGÀY BĐ KHỞI CÔNG</t>
  </si>
  <si>
    <t>HS tiền KC (duyệt)</t>
  </si>
  <si>
    <t>LŨY KẾ GIÁ TRỊ HĐ A - B</t>
  </si>
  <si>
    <t>LŨY KẾ PHÁT SINH HĐ B - B'</t>
  </si>
  <si>
    <t>LŨY KẾ TỔNG CHI PHÍ/ NGÂN SÁCH</t>
  </si>
  <si>
    <t>F. KIỂM SOÁT HỒ SƠ KHTK/ PHÁT SINH</t>
  </si>
  <si>
    <t>G. QUẢN LÝ QA/QC/QS</t>
  </si>
  <si>
    <t>G. QUẢN LÝ THI CÔNG</t>
  </si>
  <si>
    <t>TUẦN 1</t>
  </si>
  <si>
    <t>TUẦN 2</t>
  </si>
  <si>
    <t>TUẦN 3</t>
  </si>
  <si>
    <t>TUẦN 4</t>
  </si>
  <si>
    <t>Tài liệu KH tháng (duyệt/tổng)</t>
  </si>
  <si>
    <t>Phát sinh chưa duyệt</t>
  </si>
  <si>
    <t>YC cung ứng chờ duyệt</t>
  </si>
  <si>
    <t>Bù tiến độ đang chạy</t>
  </si>
  <si>
    <t>KH KLCV tháng</t>
  </si>
  <si>
    <t>KQ KLCV tháng</t>
  </si>
  <si>
    <t>Đánh giá &amp; giải pháp tháng</t>
  </si>
  <si>
    <t>T1 KH</t>
  </si>
  <si>
    <t>T1 KQ</t>
  </si>
  <si>
    <t>T1 Đánh giá</t>
  </si>
  <si>
    <t>T2 KH</t>
  </si>
  <si>
    <t>T2 KQ</t>
  </si>
  <si>
    <t>T2 Đánh giá</t>
  </si>
  <si>
    <t>T3 KH</t>
  </si>
  <si>
    <t>T3 KQ</t>
  </si>
  <si>
    <t>T3 Đánh giá</t>
  </si>
  <si>
    <t>T4 KH</t>
  </si>
  <si>
    <t>T4 KQ</t>
  </si>
  <si>
    <t>T4 Đánh giá</t>
  </si>
  <si>
    <t>HT-PL02-01</t>
  </si>
  <si>
    <t>PL02</t>
  </si>
  <si>
    <t>Hạ tầng kỹ thuật</t>
  </si>
  <si>
    <t>HTKT quanh CV + nhà mẫu (Giao thông)</t>
  </si>
  <si>
    <t>An Dương</t>
  </si>
  <si>
    <t>Hoàn thiện</t>
  </si>
  <si>
    <t>Đã cấp</t>
  </si>
  <si>
    <t>Đã bàn giao</t>
  </si>
  <si>
    <t>Đã có KQ</t>
  </si>
  <si>
    <t>Đã CU</t>
  </si>
  <si>
    <t>Đã duyệt</t>
  </si>
  <si>
    <t>Đã ký PLHĐ</t>
  </si>
  <si>
    <t>Đúng tiến độ, đang hoàn thiện vỉa hè</t>
  </si>
  <si>
    <t>VSV_QLTC_TT.01</t>
  </si>
  <si>
    <t>PL10</t>
  </si>
  <si>
    <t>Xây dựng dân dụng</t>
  </si>
  <si>
    <t>CT-01: Thi công &amp; lắp đặt thiết bị Nhà mẫu</t>
  </si>
  <si>
    <t>HĐLCNT / Tổng thầu</t>
  </si>
  <si>
    <t>Chậm nhẹ do mưa + nền yếu; đang bù tiến độ, dự kiến đạt cuối T4</t>
  </si>
  <si>
    <t>Thiếu nhân lực ca đêm</t>
  </si>
  <si>
    <t>Mưa + phát sinh nền yếu</t>
  </si>
  <si>
    <t>Tăng ca bù KL</t>
  </si>
  <si>
    <t>2.1</t>
  </si>
  <si>
    <t>HM lớn</t>
  </si>
  <si>
    <t>Thi công cọc (thí nghiệm + đại trà)</t>
  </si>
  <si>
    <t>2.2</t>
  </si>
  <si>
    <t>Thi công móng, kết cấu thân, xây thô, trát sơn bả, chống thấm</t>
  </si>
  <si>
    <t>2.2.1</t>
  </si>
  <si>
    <t>HM thành phần</t>
  </si>
  <si>
    <t>Thi công kết cấu thân</t>
  </si>
  <si>
    <t>2.2.2</t>
  </si>
  <si>
    <t>Thi công xây thô mặt ngoài</t>
  </si>
  <si>
    <t>2.2.3</t>
  </si>
  <si>
    <t>Thi công phần trát sơn bả mặt ngoài</t>
  </si>
  <si>
    <t>2.2.4</t>
  </si>
  <si>
    <t>Thi công chống thấm, san nền</t>
  </si>
  <si>
    <t>2.2.5</t>
  </si>
  <si>
    <t>Thi công thang bộ, hoàn thiện bên trong</t>
  </si>
  <si>
    <t>2.3</t>
  </si>
  <si>
    <t>Thi công mái ngói, trần mặt ngoài</t>
  </si>
  <si>
    <t>2.4</t>
  </si>
  <si>
    <t>Thi công hàng rào</t>
  </si>
  <si>
    <t>2.5</t>
  </si>
  <si>
    <t>Thi công lan can ban công</t>
  </si>
  <si>
    <t>2.6</t>
  </si>
  <si>
    <t>Thi công lam gỗ mặt ngoài</t>
  </si>
  <si>
    <t>2.7</t>
  </si>
  <si>
    <t>Thi công cửa nhôm kính</t>
  </si>
  <si>
    <t>2.8</t>
  </si>
  <si>
    <t>Thi công ốp lát mặt ngoài</t>
  </si>
  <si>
    <t>2.9</t>
  </si>
  <si>
    <t>Thi công hệ thống M&amp;E (điện, nước…)</t>
  </si>
  <si>
    <t>2.10</t>
  </si>
  <si>
    <t>Thi công cảnh quan mặt ngoài</t>
  </si>
  <si>
    <t>2.11</t>
  </si>
  <si>
    <t>Cung cấp lắp đặt chiếu sáng mặt ngoài</t>
  </si>
  <si>
    <t>2.12</t>
  </si>
  <si>
    <t>Thi công bể bơi</t>
  </si>
  <si>
    <t>2.13</t>
  </si>
  <si>
    <t>Thi công nội thất liền tường, rời</t>
  </si>
  <si>
    <t>2.14</t>
  </si>
  <si>
    <t>Thi công lắp đặt thiết bị, trang trí nội thất</t>
  </si>
  <si>
    <t>2.15</t>
  </si>
  <si>
    <t>Thi công lắp đặt rèm cửa</t>
  </si>
  <si>
    <t>2.16</t>
  </si>
  <si>
    <t>Thi công hệ thống smarthome</t>
  </si>
  <si>
    <t>KD-PL21-01</t>
  </si>
  <si>
    <t>PL21</t>
  </si>
  <si>
    <t>Công trình phục vụ KD</t>
  </si>
  <si>
    <t>KD02 – Trung tâm TDTT (Bể bơi)</t>
  </si>
  <si>
    <t>HĐLCNT</t>
  </si>
  <si>
    <t>Đã phát hành</t>
  </si>
  <si>
    <t>Đang đánh giá</t>
  </si>
  <si>
    <t>Chưa CU</t>
  </si>
  <si>
    <t>Đang lập</t>
  </si>
  <si>
    <t>Chưa ký</t>
  </si>
  <si>
    <t>Chưa trình</t>
  </si>
  <si>
    <t>SỔ 01 – HỒ SƠ TIỀN KHỞI CÔNG (lưu link sản phẩm các bước đã hoàn thành)</t>
  </si>
  <si>
    <t>STT</t>
  </si>
  <si>
    <t>Hạng mục</t>
  </si>
  <si>
    <t>Loại hồ sơ</t>
  </si>
  <si>
    <t>Tên sản phẩm / Số hiệu</t>
  </si>
  <si>
    <t>LINK lưu trữ</t>
  </si>
  <si>
    <t>Ngày HT</t>
  </si>
  <si>
    <t>Người lập</t>
  </si>
  <si>
    <t>Người duyệt</t>
  </si>
  <si>
    <t>TT duyệt</t>
  </si>
  <si>
    <t>CT-01 Nhà mẫu</t>
  </si>
  <si>
    <t>HSTKTC</t>
  </si>
  <si>
    <t>BVTC Nhà mẫu CT-01 Rev.B</t>
  </si>
  <si>
    <t>BVTC_CT01_RevB.pdf</t>
  </si>
  <si>
    <t>TVTK</t>
  </si>
  <si>
    <t>CĐT</t>
  </si>
  <si>
    <t>SPECS</t>
  </si>
  <si>
    <t>Chỉ dẫn kỹ thuật CT-01</t>
  </si>
  <si>
    <t>SPECS_CT01.pdf</t>
  </si>
  <si>
    <t>BOQ/KL</t>
  </si>
  <si>
    <t>BOQ CT-01 (PL10)</t>
  </si>
  <si>
    <t>BOQ_CT01_PL10.xlsx</t>
  </si>
  <si>
    <t>KQ LCNT</t>
  </si>
  <si>
    <t>QĐ phê duyệt KQ LCNT CT-01</t>
  </si>
  <si>
    <t>QD_KQLCNT_CT01.pdf</t>
  </si>
  <si>
    <t>HĐCU</t>
  </si>
  <si>
    <t>HĐ cung ứng CT-01 số 12/2026</t>
  </si>
  <si>
    <t>HDCU_CT01_12.pdf</t>
  </si>
  <si>
    <t>P.KTKH</t>
  </si>
  <si>
    <t>PD KHCU</t>
  </si>
  <si>
    <t>QĐ duyệt KH cung ứng CT-01</t>
  </si>
  <si>
    <t>QD_KHCU_CT01.pdf</t>
  </si>
  <si>
    <t>Tổng thầu</t>
  </si>
  <si>
    <t>Ký PLHĐ</t>
  </si>
  <si>
    <t>PLHĐ CĐT–Tổng thầu CT-01</t>
  </si>
  <si>
    <t>PLHD_CT01.pdf</t>
  </si>
  <si>
    <t>PD KHTK</t>
  </si>
  <si>
    <t>QĐ duyệt KHTK CT-01</t>
  </si>
  <si>
    <t>QD_KHTK_CT01.pdf</t>
  </si>
  <si>
    <t>HTKT quanh CV</t>
  </si>
  <si>
    <t>BVTC HTKT quanh CV Rev.A</t>
  </si>
  <si>
    <t>BVTC_HT_PL02.pdf</t>
  </si>
  <si>
    <t>Chỉ dẫn KT HTKT</t>
  </si>
  <si>
    <t>SPECS_HT.pdf</t>
  </si>
  <si>
    <t>BOQ HTKT (PL02)</t>
  </si>
  <si>
    <t>BOQ_HT_PL02.xlsx</t>
  </si>
  <si>
    <t>QĐ KQ LCNT HTKT</t>
  </si>
  <si>
    <t>QD_KQLCNT_HT.pdf</t>
  </si>
  <si>
    <t>HĐ cung ứng HTKT</t>
  </si>
  <si>
    <t>HDCU_HT.pdf</t>
  </si>
  <si>
    <t>QĐ duyệt KHCU HTKT</t>
  </si>
  <si>
    <t>QD_KHCU_HT.pdf</t>
  </si>
  <si>
    <t>PLHĐ HTKT</t>
  </si>
  <si>
    <t>PLHD_HT.pdf</t>
  </si>
  <si>
    <t>QĐ duyệt KHTK HTKT</t>
  </si>
  <si>
    <t>QD_KHTK_HT.pdf</t>
  </si>
  <si>
    <t>SỔ 02 – KẾ HOẠCH TRIỂN KHAI THÁNG/TUẦN (tài liệu kèm theo, lập &amp; duyệt)</t>
  </si>
  <si>
    <t>Tháng</t>
  </si>
  <si>
    <t>Loại tài liệu</t>
  </si>
  <si>
    <t>Nội dung chính</t>
  </si>
  <si>
    <t>Đạt YCKT CĐT</t>
  </si>
  <si>
    <t>LINK tài liệu</t>
  </si>
  <si>
    <t>TT lập</t>
  </si>
  <si>
    <t>Ngày duyệt</t>
  </si>
  <si>
    <t>06/2026</t>
  </si>
  <si>
    <t>Biện pháp thi công</t>
  </si>
  <si>
    <t>BPTC cọc &amp; móng tháng 6</t>
  </si>
  <si>
    <t>Có</t>
  </si>
  <si>
    <t>BPTC_CT01_T6.pdf</t>
  </si>
  <si>
    <t>Đã lập</t>
  </si>
  <si>
    <t>TVGS</t>
  </si>
  <si>
    <t>Kế hoạch cung ứng</t>
  </si>
  <si>
    <t>KH cung ứng vật tư tháng 6</t>
  </si>
  <si>
    <t>KHCU_CT01_T6.xlsx</t>
  </si>
  <si>
    <t>Biểu đồ nhân lực</t>
  </si>
  <si>
    <t>Biểu đồ nhân lực tháng 6</t>
  </si>
  <si>
    <t>BĐ_NhanLuc_T6.pdf</t>
  </si>
  <si>
    <t>Biểu đồ máy móc thiết bị</t>
  </si>
  <si>
    <t>Biểu đồ thiết bị tháng 6</t>
  </si>
  <si>
    <t>BĐ_ThietBi_T6.pdf</t>
  </si>
  <si>
    <t>Chờ duyệt</t>
  </si>
  <si>
    <t>Biểu đồ cung ứng</t>
  </si>
  <si>
    <t>Biểu đồ cung ứng VT tháng 6</t>
  </si>
  <si>
    <t>BĐ_CungUng_T6.pdf</t>
  </si>
  <si>
    <t>SỔ 03 – PHÁT SINH &amp; SAI KHÁC (làm rõ – ghi nhận – phê duyệt – cập nhật điều chỉnh)</t>
  </si>
  <si>
    <t>Mã PS</t>
  </si>
  <si>
    <t>Ngày PS</t>
  </si>
  <si>
    <t>Loại</t>
  </si>
  <si>
    <t>Mô tả</t>
  </si>
  <si>
    <t>Nguyên nhân</t>
  </si>
  <si>
    <t>Đề xuất xử lý</t>
  </si>
  <si>
    <t>Giá trị (tỷ)</t>
  </si>
  <si>
    <t>Ảnh hưởng TĐ (ngày)</t>
  </si>
  <si>
    <t>LINK hồ sơ</t>
  </si>
  <si>
    <t>Nội dung điều chỉnh (KH→KQ)</t>
  </si>
  <si>
    <t>Ghi chú</t>
  </si>
  <si>
    <t>PS.CT01.01</t>
  </si>
  <si>
    <t>Móng nhà mẫu</t>
  </si>
  <si>
    <t>Phát sinh khối lượng</t>
  </si>
  <si>
    <t>Gặp nền đất yếu cục bộ, tăng KL xử lý nền</t>
  </si>
  <si>
    <t>Địa chất khác hồ sơ khảo sát</t>
  </si>
  <si>
    <t>Bổ sung cọc tre + thay nền cát</t>
  </si>
  <si>
    <t>PS01_NenYeu.pdf</t>
  </si>
  <si>
    <t>Cập nhật BPTC &amp; dự toán bổ sung; điều chỉnh KH tuần 3-4</t>
  </si>
  <si>
    <t>PS.CT01.02</t>
  </si>
  <si>
    <t>Kết cấu thân T1</t>
  </si>
  <si>
    <t>Sai khác thiết kế</t>
  </si>
  <si>
    <t>Cao độ dầm sàn lệch so bản vẽ</t>
  </si>
  <si>
    <t>Lỗi bản vẽ phối hợp</t>
  </si>
  <si>
    <t>RFI điều chỉnh, phát hành bản vẽ Rev.C</t>
  </si>
  <si>
    <t>PS02_RFI.pdf</t>
  </si>
  <si>
    <t>Bản vẽ Rev.C đã phát hành, cập nhật KL</t>
  </si>
  <si>
    <t>SỔ 04 – CUNG ỨNG ĐẶC THÙ / ĐỘT XUẤT (ghi nhận – phê duyệt – kiểm soát)</t>
  </si>
  <si>
    <t>Mã YC</t>
  </si>
  <si>
    <t>Ngày YC</t>
  </si>
  <si>
    <t>Loại YC</t>
  </si>
  <si>
    <t>Vật tư / Thiết bị</t>
  </si>
  <si>
    <t>Đặc tả KT / Lý do</t>
  </si>
  <si>
    <t>KL</t>
  </si>
  <si>
    <t>ĐVT</t>
  </si>
  <si>
    <t>Trong/Ngoài HĐCU</t>
  </si>
  <si>
    <t>Ngày cần</t>
  </si>
  <si>
    <t>TT cung ứng</t>
  </si>
  <si>
    <t>YC.CT01.01</t>
  </si>
  <si>
    <t>Sảnh nhà mẫu</t>
  </si>
  <si>
    <t>Đặc thù</t>
  </si>
  <si>
    <t>Đá marble nhập khẩu ốp sảnh</t>
  </si>
  <si>
    <t>Theo yêu cầu thẩm mỹ CĐT, ngoài danh mục VT chuẩn</t>
  </si>
  <si>
    <t>m2</t>
  </si>
  <si>
    <t>Ngoài HĐCU</t>
  </si>
  <si>
    <t>YC01_Marble.pdf</t>
  </si>
  <si>
    <t>Chưa cung ứng</t>
  </si>
  <si>
    <t>YC.CT01.02</t>
  </si>
  <si>
    <t>Đổ bê tông móng</t>
  </si>
  <si>
    <t>Đột xuất</t>
  </si>
  <si>
    <t>Thuê bơm bê tông cần dài</t>
  </si>
  <si>
    <t>Mặt bằng chật, phát sinh đột xuất</t>
  </si>
  <si>
    <t>ca</t>
  </si>
  <si>
    <t>Trong HĐCU</t>
  </si>
  <si>
    <t>YC02_Bom.pdf</t>
  </si>
  <si>
    <t>BĐH</t>
  </si>
  <si>
    <t>Đã cung ứng</t>
  </si>
  <si>
    <t>SỔ 05 – BÙ TIẾN ĐỘ (chậm tiến độ: tăng ca / đổi BPTC / thêm nguồn lực)</t>
  </si>
  <si>
    <t>Ngày phát hiện</t>
  </si>
  <si>
    <t>Mức chậm (ngày)</t>
  </si>
  <si>
    <t>Giải pháp bù</t>
  </si>
  <si>
    <t>Chi tiết giải pháp</t>
  </si>
  <si>
    <t>Mốc cam kết HT</t>
  </si>
  <si>
    <t>LINK phương án</t>
  </si>
  <si>
    <t>KQ thực hiện bù</t>
  </si>
  <si>
    <t>TT thực hiện</t>
  </si>
  <si>
    <t>Cọc + móng CT-01</t>
  </si>
  <si>
    <t>Mưa kéo dài + phát sinh nền yếu</t>
  </si>
  <si>
    <t>Tăng ca</t>
  </si>
  <si>
    <t>Tăng ca tối 2h/ngày, bổ sung 1 máy ép cọc, điều phối lại mũi thi công</t>
  </si>
  <si>
    <t>PA_BuTienDo_CT01.pdf</t>
  </si>
  <si>
    <t>BĐH/CĐT</t>
  </si>
  <si>
    <t>Đang theo dõi, bù được 2/5 ngày</t>
  </si>
  <si>
    <t>Đang thực hiện</t>
  </si>
  <si>
    <t>DANH MỤC CHUẨN (dropdown – có thể bổ sung, KHÔNG đổi tên cột)</t>
  </si>
  <si>
    <t>TT Ký PLHĐ</t>
  </si>
  <si>
    <t>Mức độ</t>
  </si>
  <si>
    <t>Cấp</t>
  </si>
  <si>
    <t>TT duyệt (chung)</t>
  </si>
  <si>
    <t>TT bù tiến độ</t>
  </si>
  <si>
    <t>Loại hồ sơ tiền KC</t>
  </si>
  <si>
    <t>Loại tài liệu KH tháng</t>
  </si>
  <si>
    <t>Loại phát sinh</t>
  </si>
  <si>
    <t>Loại YC cung ứng</t>
  </si>
  <si>
    <t>Chưa có TK</t>
  </si>
  <si>
    <t>Chưa có</t>
  </si>
  <si>
    <t>Chưa bàn giao</t>
  </si>
  <si>
    <t>Chưa LCNT</t>
  </si>
  <si>
    <t>Chưa lập</t>
  </si>
  <si>
    <t>Cao</t>
  </si>
  <si>
    <t>Gói thầu</t>
  </si>
  <si>
    <t>Đang TK</t>
  </si>
  <si>
    <t>Đang mời thầu</t>
  </si>
  <si>
    <t>Đang trình ký</t>
  </si>
  <si>
    <t>Đang lập BPTC</t>
  </si>
  <si>
    <t>Đang duyệt</t>
  </si>
  <si>
    <t>Trung bình</t>
  </si>
  <si>
    <t>Đang cung ứng</t>
  </si>
  <si>
    <t>Đã hoàn thành</t>
  </si>
  <si>
    <t>Thêm nhân lực</t>
  </si>
  <si>
    <t>Không</t>
  </si>
  <si>
    <t>Điều chỉnh TK</t>
  </si>
  <si>
    <t>Điều chỉnh</t>
  </si>
  <si>
    <t>Thấp</t>
  </si>
  <si>
    <t>Đóng</t>
  </si>
  <si>
    <t>Thay đổi vật tư</t>
  </si>
  <si>
    <t>Thay đổi BPTC</t>
  </si>
  <si>
    <t>Theo đợt TC</t>
  </si>
  <si>
    <t>Thay đổi biện pháp</t>
  </si>
  <si>
    <t>Thêm thiết bị</t>
  </si>
  <si>
    <t>Đã ký</t>
  </si>
  <si>
    <t>Từ chối</t>
  </si>
  <si>
    <t>Khác</t>
  </si>
  <si>
    <t>Điều phối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</si>
</sst>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3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1F3864"/>
      <name val="Arial"/>
      <family val="2"/>
    </font>
    <font>
      <i/>
      <sz val="9"/>
      <color rgb="FF80808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2"/>
      <color rgb="FF1F3864"/>
      <name val="Arial"/>
      <family val="2"/>
    </font>
    <font>
      <sz val="9"/>
      <color rgb="FF000000"/>
      <name val="Arial"/>
      <family val="2"/>
    </font>
    <font>
      <u/>
      <sz val="9"/>
      <color rgb="FF0563C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rgb="FFC00000"/>
      <name val="Arial"/>
      <family val="2"/>
    </font>
    <font>
      <sz val="8"/>
      <name val="Calibri"/>
      <family val="2"/>
      <charset val="1"/>
    </font>
    <font>
      <b/>
      <sz val="10"/>
      <color rgb="FFFFFFFF"/>
      <name val="Calibri"/>
      <family val="2"/>
      <scheme val="minor"/>
    </font>
    <font>
      <b/>
      <sz val="10"/>
      <color rgb="FF1F3864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80808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2E75B6"/>
        <bgColor rgb="FF2E7D8F"/>
      </patternFill>
    </fill>
    <fill>
      <patternFill patternType="solid">
        <fgColor rgb="FF2E7D8F"/>
        <bgColor rgb="FF2E75B6"/>
      </patternFill>
    </fill>
    <fill>
      <patternFill patternType="solid">
        <fgColor rgb="FF548235"/>
        <bgColor rgb="FF55708F"/>
      </patternFill>
    </fill>
    <fill>
      <patternFill patternType="solid">
        <fgColor rgb="FFBF8F00"/>
        <bgColor rgb="FF9C6500"/>
      </patternFill>
    </fill>
    <fill>
      <patternFill patternType="solid">
        <fgColor rgb="FFC00000"/>
        <bgColor rgb="FF9C0006"/>
      </patternFill>
    </fill>
    <fill>
      <patternFill patternType="solid">
        <fgColor rgb="FF7030A0"/>
        <bgColor rgb="FF333399"/>
      </patternFill>
    </fill>
    <fill>
      <patternFill patternType="solid">
        <fgColor rgb="FF55708F"/>
        <bgColor rgb="FF2E7D8F"/>
      </patternFill>
    </fill>
    <fill>
      <patternFill patternType="solid">
        <fgColor rgb="FFEDEDED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D8A8"/>
      </patternFill>
    </fill>
    <fill>
      <patternFill patternType="solid">
        <fgColor rgb="FFFFD8A8"/>
        <bgColor rgb="FFFFEB9C"/>
      </patternFill>
    </fill>
    <fill>
      <patternFill patternType="solid">
        <fgColor rgb="FFFFEB9C"/>
        <bgColor rgb="FFFFD8A8"/>
      </patternFill>
    </fill>
    <fill>
      <patternFill patternType="solid">
        <fgColor rgb="FF7030A0"/>
        <bgColor rgb="FF993366"/>
      </patternFill>
    </fill>
    <fill>
      <patternFill patternType="solid">
        <fgColor theme="9"/>
        <bgColor rgb="FF993366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7"/>
        <bgColor rgb="FF333399"/>
      </patternFill>
    </fill>
    <fill>
      <patternFill patternType="solid">
        <fgColor theme="0"/>
        <bgColor indexed="64"/>
      </patternFill>
    </fill>
    <fill>
      <patternFill patternType="solid">
        <fgColor theme="4"/>
        <bgColor rgb="FF2E7D8F"/>
      </patternFill>
    </fill>
    <fill>
      <patternFill patternType="solid">
        <fgColor theme="4"/>
        <bgColor rgb="FF33339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4" fontId="7" fillId="0" borderId="1" xfId="0" applyNumberFormat="1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11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13" fillId="13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13" fillId="1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0" fillId="5" borderId="1" xfId="0" applyFill="1" applyBorder="1"/>
    <xf numFmtId="164" fontId="13" fillId="0" borderId="1" xfId="0" applyNumberFormat="1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16" fillId="15" borderId="2" xfId="0" applyFont="1" applyFill="1" applyBorder="1" applyAlignment="1">
      <alignment horizontal="left" vertical="center" indent="2"/>
    </xf>
    <xf numFmtId="0" fontId="16" fillId="15" borderId="2" xfId="0" applyFont="1" applyFill="1" applyBorder="1" applyAlignment="1">
      <alignment vertical="center"/>
    </xf>
    <xf numFmtId="0" fontId="20" fillId="17" borderId="2" xfId="0" applyFont="1" applyFill="1" applyBorder="1" applyAlignment="1">
      <alignment horizontal="center" vertical="center" wrapText="1"/>
    </xf>
    <xf numFmtId="0" fontId="21" fillId="17" borderId="2" xfId="0" applyFont="1" applyFill="1" applyBorder="1" applyAlignment="1">
      <alignment horizontal="center" vertical="center" wrapText="1"/>
    </xf>
    <xf numFmtId="0" fontId="22" fillId="17" borderId="2" xfId="0" applyFont="1" applyFill="1" applyBorder="1" applyAlignment="1">
      <alignment horizontal="center" vertical="center" wrapText="1"/>
    </xf>
    <xf numFmtId="0" fontId="18" fillId="0" borderId="2" xfId="0" applyFont="1" applyBorder="1"/>
    <xf numFmtId="0" fontId="17" fillId="19" borderId="0" xfId="0" applyFont="1" applyFill="1" applyBorder="1" applyAlignment="1"/>
    <xf numFmtId="0" fontId="17" fillId="19" borderId="0" xfId="0" applyFont="1" applyFill="1" applyBorder="1"/>
    <xf numFmtId="0" fontId="19" fillId="19" borderId="0" xfId="0" applyFont="1" applyFill="1" applyBorder="1" applyAlignment="1"/>
    <xf numFmtId="0" fontId="19" fillId="19" borderId="0" xfId="0" applyFont="1" applyFill="1" applyBorder="1"/>
    <xf numFmtId="0" fontId="20" fillId="17" borderId="3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Continuous" vertical="center" wrapText="1"/>
    </xf>
    <xf numFmtId="0" fontId="16" fillId="3" borderId="2" xfId="0" applyFont="1" applyFill="1" applyBorder="1" applyAlignment="1">
      <alignment horizontal="centerContinuous" vertical="center" wrapText="1"/>
    </xf>
    <xf numFmtId="0" fontId="16" fillId="4" borderId="2" xfId="0" applyFont="1" applyFill="1" applyBorder="1" applyAlignment="1">
      <alignment horizontal="centerContinuous" vertical="center" wrapText="1"/>
    </xf>
    <xf numFmtId="0" fontId="16" fillId="5" borderId="2" xfId="0" applyFont="1" applyFill="1" applyBorder="1" applyAlignment="1">
      <alignment horizontal="centerContinuous" vertical="center" wrapText="1"/>
    </xf>
    <xf numFmtId="0" fontId="16" fillId="6" borderId="2" xfId="0" applyFont="1" applyFill="1" applyBorder="1" applyAlignment="1">
      <alignment horizontal="centerContinuous" vertical="center" wrapText="1"/>
    </xf>
    <xf numFmtId="0" fontId="16" fillId="8" borderId="2" xfId="0" applyFont="1" applyFill="1" applyBorder="1" applyAlignment="1">
      <alignment horizontal="centerContinuous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14" fontId="20" fillId="0" borderId="2" xfId="0" applyNumberFormat="1" applyFont="1" applyBorder="1" applyAlignment="1">
      <alignment horizontal="center" vertical="center" wrapText="1"/>
    </xf>
    <xf numFmtId="164" fontId="20" fillId="0" borderId="2" xfId="0" applyNumberFormat="1" applyFont="1" applyBorder="1" applyAlignment="1">
      <alignment horizontal="center" vertical="center" wrapText="1"/>
    </xf>
    <xf numFmtId="9" fontId="20" fillId="9" borderId="2" xfId="0" applyNumberFormat="1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9" fontId="20" fillId="0" borderId="2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 indent="2"/>
    </xf>
    <xf numFmtId="0" fontId="16" fillId="20" borderId="2" xfId="0" applyFont="1" applyFill="1" applyBorder="1" applyAlignment="1">
      <alignment horizontal="centerContinuous" vertical="center" wrapText="1"/>
    </xf>
    <xf numFmtId="0" fontId="16" fillId="21" borderId="2" xfId="0" applyFont="1" applyFill="1" applyBorder="1" applyAlignment="1">
      <alignment horizontal="centerContinuous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18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18" borderId="2" xfId="0" applyFont="1" applyFill="1" applyBorder="1" applyAlignment="1">
      <alignment horizontal="center" vertical="center" wrapText="1"/>
    </xf>
    <xf numFmtId="0" fontId="16" fillId="16" borderId="2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5" fillId="0" borderId="0" xfId="0" applyFont="1" applyAlignment="1"/>
    <xf numFmtId="0" fontId="14" fillId="0" borderId="0" xfId="0" applyFont="1" applyAlignment="1"/>
    <xf numFmtId="0" fontId="8" fillId="0" borderId="0" xfId="0" applyFont="1" applyAlignment="1"/>
  </cellXfs>
  <cellStyles count="1">
    <cellStyle name="Bình thường" xfId="0" builtinId="0"/>
  </cellStyles>
  <dxfs count="9">
    <dxf>
      <font>
        <b/>
        <color rgb="FF006100"/>
      </font>
      <fill>
        <patternFill>
          <bgColor rgb="FFC6EF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5500"/>
      </font>
      <fill>
        <patternFill>
          <bgColor rgb="FFFFD8A8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500"/>
      </font>
      <fill>
        <patternFill>
          <bgColor rgb="FFFFD8A8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7030A0"/>
      <rgbColor rgb="FFEDEDED"/>
      <rgbColor rgb="FFCCFFFF"/>
      <rgbColor rgb="FF660066"/>
      <rgbColor rgb="FFFF8080"/>
      <rgbColor rgb="FF0563C1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D8A8"/>
      <rgbColor rgb="FF2E75B6"/>
      <rgbColor rgb="FF33CCCC"/>
      <rgbColor rgb="FF99CC00"/>
      <rgbColor rgb="FFFFCC00"/>
      <rgbColor rgb="FFBF8F00"/>
      <rgbColor rgb="FFFF6600"/>
      <rgbColor rgb="FF55708F"/>
      <rgbColor rgb="FF548235"/>
      <rgbColor rgb="FF1F3864"/>
      <rgbColor rgb="FF2E7D8F"/>
      <rgbColor rgb="FF003300"/>
      <rgbColor rgb="FF333300"/>
      <rgbColor rgb="FF7F2A2A"/>
      <rgbColor rgb="FF9C550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vsv-pmu.sharepoint.com/HSDA/" TargetMode="External"/><Relationship Id="rId13" Type="http://schemas.openxmlformats.org/officeDocument/2006/relationships/hyperlink" Target="https://vsv-pmu.sharepoint.com/HSDA/" TargetMode="External"/><Relationship Id="rId3" Type="http://schemas.openxmlformats.org/officeDocument/2006/relationships/hyperlink" Target="https://vsv-pmu.sharepoint.com/HSDA/" TargetMode="External"/><Relationship Id="rId7" Type="http://schemas.openxmlformats.org/officeDocument/2006/relationships/hyperlink" Target="https://vsv-pmu.sharepoint.com/HSDA/" TargetMode="External"/><Relationship Id="rId12" Type="http://schemas.openxmlformats.org/officeDocument/2006/relationships/hyperlink" Target="https://vsv-pmu.sharepoint.com/HSDA/" TargetMode="External"/><Relationship Id="rId2" Type="http://schemas.openxmlformats.org/officeDocument/2006/relationships/hyperlink" Target="https://vsv-pmu.sharepoint.com/HSDA/" TargetMode="External"/><Relationship Id="rId16" Type="http://schemas.openxmlformats.org/officeDocument/2006/relationships/hyperlink" Target="https://vsv-pmu.sharepoint.com/HSDA/" TargetMode="External"/><Relationship Id="rId1" Type="http://schemas.openxmlformats.org/officeDocument/2006/relationships/hyperlink" Target="https://vsv-pmu.sharepoint.com/HSDA/" TargetMode="External"/><Relationship Id="rId6" Type="http://schemas.openxmlformats.org/officeDocument/2006/relationships/hyperlink" Target="https://vsv-pmu.sharepoint.com/HSDA/" TargetMode="External"/><Relationship Id="rId11" Type="http://schemas.openxmlformats.org/officeDocument/2006/relationships/hyperlink" Target="https://vsv-pmu.sharepoint.com/HSDA/" TargetMode="External"/><Relationship Id="rId5" Type="http://schemas.openxmlformats.org/officeDocument/2006/relationships/hyperlink" Target="https://vsv-pmu.sharepoint.com/HSDA/" TargetMode="External"/><Relationship Id="rId15" Type="http://schemas.openxmlformats.org/officeDocument/2006/relationships/hyperlink" Target="https://vsv-pmu.sharepoint.com/HSDA/" TargetMode="External"/><Relationship Id="rId10" Type="http://schemas.openxmlformats.org/officeDocument/2006/relationships/hyperlink" Target="https://vsv-pmu.sharepoint.com/HSDA/" TargetMode="External"/><Relationship Id="rId4" Type="http://schemas.openxmlformats.org/officeDocument/2006/relationships/hyperlink" Target="https://vsv-pmu.sharepoint.com/HSDA/" TargetMode="External"/><Relationship Id="rId9" Type="http://schemas.openxmlformats.org/officeDocument/2006/relationships/hyperlink" Target="https://vsv-pmu.sharepoint.com/HSDA/" TargetMode="External"/><Relationship Id="rId14" Type="http://schemas.openxmlformats.org/officeDocument/2006/relationships/hyperlink" Target="https://vsv-pmu.sharepoint.com/HSDA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vsv-pmu.sharepoint.com/HSDA/" TargetMode="External"/><Relationship Id="rId2" Type="http://schemas.openxmlformats.org/officeDocument/2006/relationships/hyperlink" Target="https://vsv-pmu.sharepoint.com/HSDA/" TargetMode="External"/><Relationship Id="rId1" Type="http://schemas.openxmlformats.org/officeDocument/2006/relationships/hyperlink" Target="https://vsv-pmu.sharepoint.com/HSDA/" TargetMode="External"/><Relationship Id="rId5" Type="http://schemas.openxmlformats.org/officeDocument/2006/relationships/hyperlink" Target="https://vsv-pmu.sharepoint.com/HSDA/" TargetMode="External"/><Relationship Id="rId4" Type="http://schemas.openxmlformats.org/officeDocument/2006/relationships/hyperlink" Target="https://vsv-pmu.sharepoint.com/HSDA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vsv-pmu.sharepoint.com/HSDA/" TargetMode="External"/><Relationship Id="rId1" Type="http://schemas.openxmlformats.org/officeDocument/2006/relationships/hyperlink" Target="https://vsv-pmu.sharepoint.com/HSDA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vsv-pmu.sharepoint.com/HSDA/" TargetMode="External"/><Relationship Id="rId1" Type="http://schemas.openxmlformats.org/officeDocument/2006/relationships/hyperlink" Target="https://vsv-pmu.sharepoint.com/HSDA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vsv-pmu.sharepoint.com/HSD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B2:B33"/>
  <sheetViews>
    <sheetView showGridLines="0" topLeftCell="A17" zoomScaleNormal="100" workbookViewId="0">
      <selection activeCell="B34" sqref="B34"/>
    </sheetView>
  </sheetViews>
  <sheetFormatPr defaultColWidth="8.7109375" defaultRowHeight="15"/>
  <cols>
    <col min="1" max="1" width="3" customWidth="1"/>
    <col min="2" max="2" width="118" customWidth="1"/>
  </cols>
  <sheetData>
    <row r="2" spans="2:2" ht="18">
      <c r="B2" s="1" t="s">
        <v>0</v>
      </c>
    </row>
    <row r="3" spans="2:2" ht="13.5" customHeight="1">
      <c r="B3" s="2"/>
    </row>
    <row r="4" spans="2:2" ht="19.5" customHeight="1">
      <c r="B4" s="3" t="s">
        <v>1</v>
      </c>
    </row>
    <row r="5" spans="2:2" ht="30" customHeight="1">
      <c r="B5" s="2" t="s">
        <v>2</v>
      </c>
    </row>
    <row r="6" spans="2:2" ht="30" customHeight="1">
      <c r="B6" s="2" t="s">
        <v>3</v>
      </c>
    </row>
    <row r="7" spans="2:2" ht="30" customHeight="1">
      <c r="B7" s="2" t="s">
        <v>4</v>
      </c>
    </row>
    <row r="8" spans="2:2" ht="30" customHeight="1">
      <c r="B8" s="2" t="s">
        <v>5</v>
      </c>
    </row>
    <row r="9" spans="2:2" ht="30" customHeight="1">
      <c r="B9" s="2" t="s">
        <v>6</v>
      </c>
    </row>
    <row r="10" spans="2:2" ht="30" customHeight="1">
      <c r="B10" s="2" t="s">
        <v>7</v>
      </c>
    </row>
    <row r="11" spans="2:2" ht="30" customHeight="1">
      <c r="B11" s="2" t="s">
        <v>8</v>
      </c>
    </row>
    <row r="12" spans="2:2" ht="13.5" customHeight="1">
      <c r="B12" s="2"/>
    </row>
    <row r="13" spans="2:2" ht="19.5" customHeight="1">
      <c r="B13" s="3" t="s">
        <v>9</v>
      </c>
    </row>
    <row r="14" spans="2:2" ht="30" customHeight="1">
      <c r="B14" s="2" t="s">
        <v>10</v>
      </c>
    </row>
    <row r="15" spans="2:2" ht="13.5" customHeight="1">
      <c r="B15" s="2"/>
    </row>
    <row r="16" spans="2:2" ht="19.5" customHeight="1">
      <c r="B16" s="3" t="s">
        <v>11</v>
      </c>
    </row>
    <row r="17" spans="2:2" ht="30" customHeight="1">
      <c r="B17" s="2" t="s">
        <v>12</v>
      </c>
    </row>
    <row r="18" spans="2:2" ht="30" customHeight="1">
      <c r="B18" s="2" t="s">
        <v>13</v>
      </c>
    </row>
    <row r="19" spans="2:2" ht="30" customHeight="1">
      <c r="B19" s="2" t="s">
        <v>14</v>
      </c>
    </row>
    <row r="20" spans="2:2" ht="13.5" customHeight="1">
      <c r="B20" s="2"/>
    </row>
    <row r="21" spans="2:2" ht="19.5" customHeight="1">
      <c r="B21" s="3" t="s">
        <v>15</v>
      </c>
    </row>
    <row r="22" spans="2:2" ht="30" customHeight="1">
      <c r="B22" s="2" t="s">
        <v>16</v>
      </c>
    </row>
    <row r="23" spans="2:2" ht="30" customHeight="1">
      <c r="B23" s="2" t="s">
        <v>17</v>
      </c>
    </row>
    <row r="24" spans="2:2" ht="13.5" customHeight="1">
      <c r="B24" s="2"/>
    </row>
    <row r="25" spans="2:2" ht="19.5" customHeight="1">
      <c r="B25" s="3" t="s">
        <v>18</v>
      </c>
    </row>
    <row r="26" spans="2:2" ht="30" customHeight="1">
      <c r="B26" s="2" t="s">
        <v>19</v>
      </c>
    </row>
    <row r="27" spans="2:2" ht="30" customHeight="1">
      <c r="B27" s="2" t="s">
        <v>20</v>
      </c>
    </row>
    <row r="28" spans="2:2" ht="30" customHeight="1">
      <c r="B28" s="2" t="s">
        <v>21</v>
      </c>
    </row>
    <row r="29" spans="2:2" ht="13.5" customHeight="1">
      <c r="B29" s="2"/>
    </row>
    <row r="30" spans="2:2" ht="19.5" customHeight="1">
      <c r="B30" s="3" t="s">
        <v>22</v>
      </c>
    </row>
    <row r="31" spans="2:2" ht="30" customHeight="1">
      <c r="B31" s="2" t="s">
        <v>23</v>
      </c>
    </row>
    <row r="32" spans="2:2" ht="13.5" customHeight="1">
      <c r="B32" s="2"/>
    </row>
    <row r="33" spans="2:2" ht="19.5" customHeight="1">
      <c r="B33" s="4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</sheetPr>
  <dimension ref="B2:C31"/>
  <sheetViews>
    <sheetView showGridLines="0" zoomScaleNormal="100" workbookViewId="0">
      <pane ySplit="4" topLeftCell="A5" activePane="bottomLeft" state="frozen"/>
      <selection pane="bottomLeft" activeCell="B31" sqref="B31:C31"/>
    </sheetView>
  </sheetViews>
  <sheetFormatPr defaultColWidth="8.7109375" defaultRowHeight="15"/>
  <cols>
    <col min="1" max="1" width="3" customWidth="1"/>
    <col min="2" max="2" width="42" customWidth="1"/>
    <col min="3" max="3" width="16" customWidth="1"/>
    <col min="4" max="4" width="3" customWidth="1"/>
  </cols>
  <sheetData>
    <row r="2" spans="2:3" ht="18">
      <c r="B2" s="74" t="s">
        <v>25</v>
      </c>
      <c r="C2" s="74"/>
    </row>
    <row r="3" spans="2:3">
      <c r="B3" s="75" t="s">
        <v>26</v>
      </c>
      <c r="C3" s="75"/>
    </row>
    <row r="5" spans="2:3">
      <c r="B5" s="19" t="s">
        <v>27</v>
      </c>
      <c r="C5" s="20"/>
    </row>
    <row r="6" spans="2:3">
      <c r="B6" s="21" t="s">
        <v>28</v>
      </c>
      <c r="C6" s="22">
        <f>COUNTA('BANG TONG HOP'!B6:B45)</f>
        <v>3</v>
      </c>
    </row>
    <row r="7" spans="2:3">
      <c r="B7" s="21" t="s">
        <v>29</v>
      </c>
      <c r="C7" s="23">
        <f>COUNTIF('BANG TONG HOP'!AC6:AC45,"ĐỦ ĐK*")</f>
        <v>2</v>
      </c>
    </row>
    <row r="8" spans="2:3">
      <c r="B8" s="21" t="s">
        <v>30</v>
      </c>
      <c r="C8" s="24">
        <f>COUNTIF('BANG TONG HOP'!AC6:AC45,"THIẾU*")</f>
        <v>1</v>
      </c>
    </row>
    <row r="9" spans="2:3">
      <c r="B9" s="21" t="s">
        <v>31</v>
      </c>
      <c r="C9" s="22">
        <f>COUNT('BANG TONG HOP'!AD6:AD45)</f>
        <v>2</v>
      </c>
    </row>
    <row r="10" spans="2:3">
      <c r="B10" s="21" t="s">
        <v>32</v>
      </c>
      <c r="C10" s="22">
        <f>COUNTIF('01_HSo TienKC'!J3:J100,"Đã duyệt")</f>
        <v>16</v>
      </c>
    </row>
    <row r="12" spans="2:3">
      <c r="B12" s="25" t="s">
        <v>33</v>
      </c>
      <c r="C12" s="26"/>
    </row>
    <row r="13" spans="2:3">
      <c r="B13" s="21" t="s">
        <v>34</v>
      </c>
      <c r="C13" s="22" t="str">
        <f>COUNTIF('02_KH Thang_Tuan'!J3:J100,"Đã duyệt")&amp;" / "&amp;COUNTA('02_KH Thang_Tuan'!B3:B100)</f>
        <v>4 / 5</v>
      </c>
    </row>
    <row r="14" spans="2:3">
      <c r="B14" s="21" t="s">
        <v>35</v>
      </c>
      <c r="C14" s="27">
        <f>SUM('BANG TONG HOP'!AJ6:AJ45)</f>
        <v>1</v>
      </c>
    </row>
    <row r="15" spans="2:3">
      <c r="B15" s="21" t="s">
        <v>36</v>
      </c>
      <c r="C15" s="27">
        <f>SUM('BANG TONG HOP'!AK6:AK45)</f>
        <v>1</v>
      </c>
    </row>
    <row r="16" spans="2:3">
      <c r="B16" s="21" t="s">
        <v>37</v>
      </c>
      <c r="C16" s="27">
        <f>SUM('BANG TONG HOP'!AL6:AL45)</f>
        <v>1</v>
      </c>
    </row>
    <row r="18" spans="2:3">
      <c r="B18" s="28" t="s">
        <v>38</v>
      </c>
      <c r="C18" s="29"/>
    </row>
    <row r="19" spans="2:3">
      <c r="B19" s="21" t="s">
        <v>39</v>
      </c>
      <c r="C19" s="24" t="e">
        <f>COUNTIF('BANG TONG HOP'!#REF!,"ĐỎ*")</f>
        <v>#REF!</v>
      </c>
    </row>
    <row r="20" spans="2:3">
      <c r="B20" s="21" t="s">
        <v>40</v>
      </c>
      <c r="C20" s="27" t="e">
        <f>COUNTIF('BANG TONG HOP'!#REF!,"CAM*")</f>
        <v>#REF!</v>
      </c>
    </row>
    <row r="21" spans="2:3">
      <c r="B21" s="21" t="s">
        <v>41</v>
      </c>
      <c r="C21" s="30" t="e">
        <f>COUNTIF('BANG TONG HOP'!#REF!,"VÀNG*")</f>
        <v>#REF!</v>
      </c>
    </row>
    <row r="22" spans="2:3">
      <c r="B22" s="21" t="s">
        <v>42</v>
      </c>
      <c r="C22" s="23" t="e">
        <f>COUNTIF('BANG TONG HOP'!#REF!,"XANH*")</f>
        <v>#REF!</v>
      </c>
    </row>
    <row r="23" spans="2:3">
      <c r="B23" s="21" t="s">
        <v>43</v>
      </c>
      <c r="C23" s="24" t="e">
        <f>COUNTIF('BANG TONG HOP'!#REF!,"Cao")</f>
        <v>#REF!</v>
      </c>
    </row>
    <row r="25" spans="2:3">
      <c r="B25" s="31" t="s">
        <v>44</v>
      </c>
      <c r="C25" s="32"/>
    </row>
    <row r="26" spans="2:3">
      <c r="B26" s="21" t="s">
        <v>45</v>
      </c>
      <c r="C26" s="33">
        <f>SUM('BANG TONG HOP'!I6:I45)</f>
        <v>177.3</v>
      </c>
    </row>
    <row r="27" spans="2:3">
      <c r="B27" s="21" t="s">
        <v>46</v>
      </c>
      <c r="C27" s="33">
        <f>SUM('BANG TONG HOP'!T6:T45)</f>
        <v>121.3</v>
      </c>
    </row>
    <row r="28" spans="2:3">
      <c r="B28" s="21" t="s">
        <v>47</v>
      </c>
      <c r="C28" s="34">
        <f>SUM('03_Phat sinh'!J3:J100)</f>
        <v>0.8</v>
      </c>
    </row>
    <row r="29" spans="2:3">
      <c r="B29" s="21" t="s">
        <v>48</v>
      </c>
      <c r="C29" s="34">
        <f>SUM('04_CU dac thu'!K3:K100)</f>
        <v>1.25</v>
      </c>
    </row>
    <row r="31" spans="2:3">
      <c r="B31" s="76" t="s">
        <v>49</v>
      </c>
      <c r="C31" s="76"/>
    </row>
  </sheetData>
  <mergeCells count="3">
    <mergeCell ref="B2:C2"/>
    <mergeCell ref="B3:C3"/>
    <mergeCell ref="B31:C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BD82"/>
  <sheetViews>
    <sheetView tabSelected="1" zoomScale="70" zoomScaleNormal="70" workbookViewId="0">
      <pane xSplit="5" ySplit="5" topLeftCell="F6" activePane="bottomRight" state="frozen"/>
      <selection pane="bottomRight" activeCell="U9" sqref="U9"/>
      <selection pane="bottomLeft" activeCell="A6" sqref="A6"/>
      <selection pane="topRight" activeCell="F1" sqref="F1"/>
    </sheetView>
  </sheetViews>
  <sheetFormatPr defaultColWidth="8.7109375" defaultRowHeight="12.75" outlineLevelCol="1"/>
  <cols>
    <col min="1" max="1" width="6" style="35" customWidth="1"/>
    <col min="2" max="2" width="11" style="35" customWidth="1"/>
    <col min="3" max="3" width="10" style="35" customWidth="1"/>
    <col min="4" max="4" width="10.140625" style="35" customWidth="1"/>
    <col min="5" max="5" width="27.42578125" style="35" customWidth="1"/>
    <col min="6" max="6" width="12" style="35" customWidth="1"/>
    <col min="7" max="25" width="10.85546875" style="35" customWidth="1"/>
    <col min="26" max="28" width="8" style="35" customWidth="1"/>
    <col min="29" max="29" width="15" style="35" customWidth="1"/>
    <col min="30" max="30" width="12" style="35" customWidth="1"/>
    <col min="31" max="31" width="9" style="35" customWidth="1"/>
    <col min="32" max="34" width="12.5703125" style="41" customWidth="1"/>
    <col min="35" max="35" width="11" style="35" customWidth="1"/>
    <col min="36" max="38" width="9" style="35" customWidth="1"/>
    <col min="39" max="40" width="8.140625" style="35" customWidth="1"/>
    <col min="41" max="41" width="22" style="35" customWidth="1"/>
    <col min="42" max="43" width="8.140625" style="35" customWidth="1"/>
    <col min="44" max="44" width="22" style="35" customWidth="1"/>
    <col min="45" max="46" width="7" style="35" customWidth="1" outlineLevel="1"/>
    <col min="47" max="47" width="21" style="35" customWidth="1" outlineLevel="1"/>
    <col min="48" max="49" width="7" style="35" customWidth="1" outlineLevel="1"/>
    <col min="50" max="50" width="21" style="35" customWidth="1" outlineLevel="1"/>
    <col min="51" max="52" width="7" style="35" customWidth="1" outlineLevel="1"/>
    <col min="53" max="53" width="21" style="35" customWidth="1" outlineLevel="1"/>
    <col min="54" max="55" width="7" style="35" customWidth="1" outlineLevel="1"/>
    <col min="56" max="56" width="21" style="35" customWidth="1" outlineLevel="1"/>
    <col min="57" max="16384" width="8.7109375" style="35"/>
  </cols>
  <sheetData>
    <row r="1" spans="1:56">
      <c r="A1" s="42" t="s">
        <v>50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3"/>
      <c r="AG1" s="43"/>
      <c r="AH1" s="43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</row>
    <row r="2" spans="1:56">
      <c r="A2" s="44" t="s">
        <v>51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5"/>
      <c r="AG2" s="45"/>
      <c r="AH2" s="45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</row>
    <row r="3" spans="1:56" ht="50.25" customHeight="1">
      <c r="A3" s="47" t="s">
        <v>52</v>
      </c>
      <c r="B3" s="47"/>
      <c r="C3" s="47"/>
      <c r="D3" s="47"/>
      <c r="E3" s="47"/>
      <c r="F3" s="47"/>
      <c r="G3" s="48" t="s">
        <v>53</v>
      </c>
      <c r="H3" s="48"/>
      <c r="I3" s="48"/>
      <c r="J3" s="48"/>
      <c r="K3" s="48"/>
      <c r="L3" s="48"/>
      <c r="M3" s="48"/>
      <c r="N3" s="49" t="s">
        <v>54</v>
      </c>
      <c r="O3" s="49"/>
      <c r="P3" s="49"/>
      <c r="Q3" s="49"/>
      <c r="R3" s="49"/>
      <c r="S3" s="49"/>
      <c r="T3" s="49"/>
      <c r="U3" s="49"/>
      <c r="V3" s="50" t="s">
        <v>55</v>
      </c>
      <c r="W3" s="50"/>
      <c r="X3" s="50"/>
      <c r="Y3" s="50"/>
      <c r="Z3" s="51" t="s">
        <v>56</v>
      </c>
      <c r="AA3" s="51"/>
      <c r="AB3" s="51"/>
      <c r="AC3" s="51"/>
      <c r="AD3" s="51"/>
      <c r="AE3" s="51"/>
      <c r="AF3" s="36" t="s">
        <v>57</v>
      </c>
      <c r="AG3" s="37"/>
      <c r="AH3" s="37"/>
      <c r="AI3" s="62" t="s">
        <v>58</v>
      </c>
      <c r="AJ3" s="62"/>
      <c r="AK3" s="62"/>
      <c r="AL3" s="62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</row>
    <row r="4" spans="1:56" ht="15.75" customHeight="1">
      <c r="A4" s="66" t="s">
        <v>59</v>
      </c>
      <c r="B4" s="66" t="s">
        <v>60</v>
      </c>
      <c r="C4" s="66" t="s">
        <v>61</v>
      </c>
      <c r="D4" s="66" t="s">
        <v>62</v>
      </c>
      <c r="E4" s="66" t="s">
        <v>63</v>
      </c>
      <c r="F4" s="66" t="s">
        <v>64</v>
      </c>
      <c r="G4" s="67" t="s">
        <v>65</v>
      </c>
      <c r="H4" s="67" t="s">
        <v>66</v>
      </c>
      <c r="I4" s="67" t="s">
        <v>67</v>
      </c>
      <c r="J4" s="67" t="s">
        <v>68</v>
      </c>
      <c r="K4" s="67" t="s">
        <v>69</v>
      </c>
      <c r="L4" s="67" t="s">
        <v>70</v>
      </c>
      <c r="M4" s="67" t="s">
        <v>71</v>
      </c>
      <c r="N4" s="68" t="s">
        <v>72</v>
      </c>
      <c r="O4" s="68" t="s">
        <v>73</v>
      </c>
      <c r="P4" s="68" t="s">
        <v>74</v>
      </c>
      <c r="Q4" s="68" t="s">
        <v>75</v>
      </c>
      <c r="R4" s="68" t="s">
        <v>76</v>
      </c>
      <c r="S4" s="68" t="s">
        <v>77</v>
      </c>
      <c r="T4" s="68" t="s">
        <v>78</v>
      </c>
      <c r="U4" s="68" t="s">
        <v>79</v>
      </c>
      <c r="V4" s="69" t="s">
        <v>80</v>
      </c>
      <c r="W4" s="69" t="s">
        <v>81</v>
      </c>
      <c r="X4" s="69" t="s">
        <v>82</v>
      </c>
      <c r="Y4" s="69" t="s">
        <v>83</v>
      </c>
      <c r="Z4" s="70" t="s">
        <v>84</v>
      </c>
      <c r="AA4" s="70" t="s">
        <v>85</v>
      </c>
      <c r="AB4" s="70" t="s">
        <v>86</v>
      </c>
      <c r="AC4" s="70" t="s">
        <v>87</v>
      </c>
      <c r="AD4" s="70" t="s">
        <v>88</v>
      </c>
      <c r="AE4" s="70" t="s">
        <v>89</v>
      </c>
      <c r="AF4" s="73" t="s">
        <v>90</v>
      </c>
      <c r="AG4" s="73" t="s">
        <v>91</v>
      </c>
      <c r="AH4" s="73" t="s">
        <v>92</v>
      </c>
      <c r="AI4" s="52" t="s">
        <v>93</v>
      </c>
      <c r="AJ4" s="52"/>
      <c r="AK4" s="52"/>
      <c r="AL4" s="52"/>
      <c r="AM4" s="71" t="s">
        <v>94</v>
      </c>
      <c r="AN4" s="71"/>
      <c r="AO4" s="71"/>
      <c r="AP4" s="71" t="s">
        <v>95</v>
      </c>
      <c r="AQ4" s="71"/>
      <c r="AR4" s="71"/>
      <c r="AS4" s="72" t="s">
        <v>96</v>
      </c>
      <c r="AT4" s="72"/>
      <c r="AU4" s="72"/>
      <c r="AV4" s="71" t="s">
        <v>97</v>
      </c>
      <c r="AW4" s="71"/>
      <c r="AX4" s="71"/>
      <c r="AY4" s="72" t="s">
        <v>98</v>
      </c>
      <c r="AZ4" s="72"/>
      <c r="BA4" s="72"/>
      <c r="BB4" s="71" t="s">
        <v>99</v>
      </c>
      <c r="BC4" s="71"/>
      <c r="BD4" s="71"/>
    </row>
    <row r="5" spans="1:56" ht="39.75" customHeight="1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73"/>
      <c r="AG5" s="73"/>
      <c r="AH5" s="73"/>
      <c r="AI5" s="53" t="s">
        <v>100</v>
      </c>
      <c r="AJ5" s="53" t="s">
        <v>101</v>
      </c>
      <c r="AK5" s="53" t="s">
        <v>102</v>
      </c>
      <c r="AL5" s="53" t="s">
        <v>103</v>
      </c>
      <c r="AM5" s="64" t="s">
        <v>104</v>
      </c>
      <c r="AN5" s="64" t="s">
        <v>105</v>
      </c>
      <c r="AO5" s="64" t="s">
        <v>106</v>
      </c>
      <c r="AP5" s="64" t="s">
        <v>104</v>
      </c>
      <c r="AQ5" s="64" t="s">
        <v>105</v>
      </c>
      <c r="AR5" s="64" t="s">
        <v>106</v>
      </c>
      <c r="AS5" s="65" t="s">
        <v>107</v>
      </c>
      <c r="AT5" s="65" t="s">
        <v>108</v>
      </c>
      <c r="AU5" s="65" t="s">
        <v>109</v>
      </c>
      <c r="AV5" s="64" t="s">
        <v>110</v>
      </c>
      <c r="AW5" s="64" t="s">
        <v>111</v>
      </c>
      <c r="AX5" s="64" t="s">
        <v>112</v>
      </c>
      <c r="AY5" s="65" t="s">
        <v>113</v>
      </c>
      <c r="AZ5" s="65" t="s">
        <v>114</v>
      </c>
      <c r="BA5" s="65" t="s">
        <v>115</v>
      </c>
      <c r="BB5" s="64" t="s">
        <v>116</v>
      </c>
      <c r="BC5" s="64" t="s">
        <v>117</v>
      </c>
      <c r="BD5" s="64" t="s">
        <v>118</v>
      </c>
    </row>
    <row r="6" spans="1:56" ht="33.75" customHeight="1">
      <c r="A6" s="54">
        <v>1</v>
      </c>
      <c r="B6" s="54" t="s">
        <v>119</v>
      </c>
      <c r="C6" s="54" t="s">
        <v>120</v>
      </c>
      <c r="D6" s="54" t="s">
        <v>121</v>
      </c>
      <c r="E6" s="55" t="s">
        <v>122</v>
      </c>
      <c r="F6" s="54" t="s">
        <v>123</v>
      </c>
      <c r="G6" s="56">
        <v>45667</v>
      </c>
      <c r="H6" s="56">
        <v>46387</v>
      </c>
      <c r="I6" s="57">
        <v>35.299999999999997</v>
      </c>
      <c r="J6" s="56">
        <v>45627</v>
      </c>
      <c r="K6" s="54" t="s">
        <v>124</v>
      </c>
      <c r="L6" s="54" t="s">
        <v>125</v>
      </c>
      <c r="M6" s="54" t="s">
        <v>126</v>
      </c>
      <c r="N6" s="56">
        <v>45636</v>
      </c>
      <c r="O6" s="54" t="s">
        <v>127</v>
      </c>
      <c r="P6" s="56">
        <v>45646</v>
      </c>
      <c r="Q6" s="54" t="s">
        <v>128</v>
      </c>
      <c r="R6" s="56">
        <v>45662</v>
      </c>
      <c r="S6" s="54" t="s">
        <v>129</v>
      </c>
      <c r="T6" s="57">
        <v>34.799999999999997</v>
      </c>
      <c r="U6" s="58">
        <f t="shared" ref="U6:U45" si="0">IF(OR(I6="",T6=""),"",T6/I6)</f>
        <v>0.98583569405099147</v>
      </c>
      <c r="V6" s="56">
        <v>45663</v>
      </c>
      <c r="W6" s="54" t="s">
        <v>130</v>
      </c>
      <c r="X6" s="56">
        <v>45665</v>
      </c>
      <c r="Y6" s="54" t="s">
        <v>129</v>
      </c>
      <c r="Z6" s="59" t="str">
        <f t="shared" ref="Z6:Z45" si="1">IF($B6="","",IF(AND(OR(K6="Đã phát hành",K6="Hoàn thiện"),M6="Đã bàn giao"),"✔","✘"))</f>
        <v>✔</v>
      </c>
      <c r="AA6" s="59" t="str">
        <f t="shared" ref="AA6:AA45" si="2">IF($B6="","",IF(Q6="Đã CU","✔","✘"))</f>
        <v>✔</v>
      </c>
      <c r="AB6" s="59" t="str">
        <f t="shared" ref="AB6:AB45" si="3">IF($B6="","",IF(Y6="Đã duyệt","✔","✘"))</f>
        <v>✔</v>
      </c>
      <c r="AC6" s="59" t="str">
        <f t="shared" ref="AC6:AC45" si="4">IF($B6="","",IF(AND(Z6="✔",AA6="✔",AB6="✔"),"ĐỦ ĐK KHỞI CÔNG","THIẾU ĐK"))</f>
        <v>ĐỦ ĐK KHỞI CÔNG</v>
      </c>
      <c r="AD6" s="56">
        <v>45672</v>
      </c>
      <c r="AE6" s="59">
        <f>IF($B6="","",COUNTIFS('01_HSo TienKC'!$B:$B,$B6,'01_HSo TienKC'!$J:$J,"Đã duyệt"))</f>
        <v>8</v>
      </c>
      <c r="AF6" s="38"/>
      <c r="AG6" s="38"/>
      <c r="AH6" s="38"/>
      <c r="AI6" s="59" t="str">
        <f>IF($B6="","",COUNTIFS('02_KH Thang_Tuan'!$B:$B,$B6,'02_KH Thang_Tuan'!$J:$J,"Đã duyệt")&amp;"/"&amp;COUNTIFS('02_KH Thang_Tuan'!$B:$B,$B6))</f>
        <v>0/0</v>
      </c>
      <c r="AJ6" s="59">
        <f>IF($B6="","",COUNTIFS('03_Phat sinh'!$C:$C,$B6,'03_Phat sinh'!$M:$M,"&lt;&gt;Đã duyệt"))</f>
        <v>0</v>
      </c>
      <c r="AK6" s="59">
        <f>IF($B6="","",COUNTIFS('04_CU dac thu'!$C:$C,$B6,'04_CU dac thu'!$N:$N,"&lt;&gt;Đã duyệt"))</f>
        <v>0</v>
      </c>
      <c r="AL6" s="59">
        <f>IF($B6="","",COUNTIFS('05_Bu tien do'!$B:$B,$B6,'05_Bu tien do'!$N:$N,"&lt;&gt;Đã hoàn thành"))</f>
        <v>0</v>
      </c>
      <c r="AM6" s="60">
        <v>0.95</v>
      </c>
      <c r="AN6" s="60">
        <v>0.95</v>
      </c>
      <c r="AO6" s="55" t="s">
        <v>131</v>
      </c>
      <c r="AP6" s="60">
        <v>0.95</v>
      </c>
      <c r="AQ6" s="60">
        <v>0.95</v>
      </c>
      <c r="AR6" s="55" t="s">
        <v>131</v>
      </c>
      <c r="AS6" s="60">
        <v>0.8</v>
      </c>
      <c r="AT6" s="60">
        <v>0.8</v>
      </c>
      <c r="AU6" s="55"/>
      <c r="AV6" s="60">
        <v>0.86</v>
      </c>
      <c r="AW6" s="60">
        <v>0.86</v>
      </c>
      <c r="AX6" s="55"/>
      <c r="AY6" s="60">
        <v>0.91</v>
      </c>
      <c r="AZ6" s="60">
        <v>0.91</v>
      </c>
      <c r="BA6" s="55"/>
      <c r="BB6" s="60">
        <v>0.95</v>
      </c>
      <c r="BC6" s="60">
        <v>0.95</v>
      </c>
      <c r="BD6" s="55"/>
    </row>
    <row r="7" spans="1:56" ht="40.5" customHeight="1">
      <c r="A7" s="54">
        <v>2</v>
      </c>
      <c r="B7" s="54" t="s">
        <v>132</v>
      </c>
      <c r="C7" s="54" t="s">
        <v>133</v>
      </c>
      <c r="D7" s="54" t="s">
        <v>134</v>
      </c>
      <c r="E7" s="55" t="s">
        <v>135</v>
      </c>
      <c r="F7" s="54" t="s">
        <v>136</v>
      </c>
      <c r="G7" s="56">
        <v>46174</v>
      </c>
      <c r="H7" s="56">
        <v>46295</v>
      </c>
      <c r="I7" s="57">
        <v>100</v>
      </c>
      <c r="J7" s="56">
        <v>46162</v>
      </c>
      <c r="K7" s="54" t="s">
        <v>124</v>
      </c>
      <c r="L7" s="54" t="s">
        <v>125</v>
      </c>
      <c r="M7" s="54" t="s">
        <v>126</v>
      </c>
      <c r="N7" s="56">
        <v>46152</v>
      </c>
      <c r="O7" s="54" t="s">
        <v>127</v>
      </c>
      <c r="P7" s="56">
        <v>46162</v>
      </c>
      <c r="Q7" s="54" t="s">
        <v>128</v>
      </c>
      <c r="R7" s="56">
        <v>46167</v>
      </c>
      <c r="S7" s="54" t="s">
        <v>129</v>
      </c>
      <c r="T7" s="57">
        <v>74.5</v>
      </c>
      <c r="U7" s="58">
        <f t="shared" si="0"/>
        <v>0.745</v>
      </c>
      <c r="V7" s="56">
        <v>46164</v>
      </c>
      <c r="W7" s="54" t="s">
        <v>130</v>
      </c>
      <c r="X7" s="56">
        <v>46170</v>
      </c>
      <c r="Y7" s="54" t="s">
        <v>129</v>
      </c>
      <c r="Z7" s="59" t="str">
        <f t="shared" si="1"/>
        <v>✔</v>
      </c>
      <c r="AA7" s="59" t="str">
        <f t="shared" si="2"/>
        <v>✔</v>
      </c>
      <c r="AB7" s="59" t="str">
        <f t="shared" si="3"/>
        <v>✔</v>
      </c>
      <c r="AC7" s="59" t="str">
        <f t="shared" si="4"/>
        <v>ĐỦ ĐK KHỞI CÔNG</v>
      </c>
      <c r="AD7" s="56">
        <v>46174</v>
      </c>
      <c r="AE7" s="59">
        <f>IF($B7="","",COUNTIFS('01_HSo TienKC'!$B:$B,$B7,'01_HSo TienKC'!$J:$J,"Đã duyệt"))</f>
        <v>8</v>
      </c>
      <c r="AF7" s="39"/>
      <c r="AG7" s="39"/>
      <c r="AH7" s="39"/>
      <c r="AI7" s="59" t="str">
        <f>IF($B7="","",COUNTIFS('02_KH Thang_Tuan'!$B:$B,$B7,'02_KH Thang_Tuan'!$J:$J,"Đã duyệt")&amp;"/"&amp;COUNTIFS('02_KH Thang_Tuan'!$B:$B,$B7))</f>
        <v>4/5</v>
      </c>
      <c r="AJ7" s="59">
        <f>IF($B7="","",COUNTIFS('03_Phat sinh'!$C:$C,$B7,'03_Phat sinh'!$M:$M,"&lt;&gt;Đã duyệt"))</f>
        <v>1</v>
      </c>
      <c r="AK7" s="59">
        <f>IF($B7="","",COUNTIFS('04_CU dac thu'!$C:$C,$B7,'04_CU dac thu'!$N:$N,"&lt;&gt;Đã duyệt"))</f>
        <v>1</v>
      </c>
      <c r="AL7" s="59">
        <f>IF($B7="","",COUNTIFS('05_Bu tien do'!$B:$B,$B7,'05_Bu tien do'!$N:$N,"&lt;&gt;Đã hoàn thành"))</f>
        <v>1</v>
      </c>
      <c r="AM7" s="60">
        <v>0.25</v>
      </c>
      <c r="AN7" s="60">
        <v>0.22</v>
      </c>
      <c r="AO7" s="55" t="s">
        <v>137</v>
      </c>
      <c r="AP7" s="60">
        <v>0.25</v>
      </c>
      <c r="AQ7" s="60">
        <v>0.22</v>
      </c>
      <c r="AR7" s="55" t="s">
        <v>137</v>
      </c>
      <c r="AS7" s="60">
        <v>0.06</v>
      </c>
      <c r="AT7" s="60">
        <v>0.06</v>
      </c>
      <c r="AU7" s="55"/>
      <c r="AV7" s="60">
        <v>0.12</v>
      </c>
      <c r="AW7" s="60">
        <v>0.11</v>
      </c>
      <c r="AX7" s="55" t="s">
        <v>138</v>
      </c>
      <c r="AY7" s="60">
        <v>0.19</v>
      </c>
      <c r="AZ7" s="60">
        <v>0.16</v>
      </c>
      <c r="BA7" s="55" t="s">
        <v>139</v>
      </c>
      <c r="BB7" s="60">
        <v>0.25</v>
      </c>
      <c r="BC7" s="60">
        <v>0.22</v>
      </c>
      <c r="BD7" s="55" t="s">
        <v>140</v>
      </c>
    </row>
    <row r="8" spans="1:56" ht="25.5" customHeight="1">
      <c r="A8" s="54" t="s">
        <v>141</v>
      </c>
      <c r="B8" s="54"/>
      <c r="C8" s="54" t="s">
        <v>142</v>
      </c>
      <c r="D8" s="54"/>
      <c r="E8" s="55" t="s">
        <v>143</v>
      </c>
      <c r="F8" s="54"/>
      <c r="G8" s="56"/>
      <c r="H8" s="56"/>
      <c r="I8" s="57">
        <v>10</v>
      </c>
      <c r="J8" s="56"/>
      <c r="K8" s="54"/>
      <c r="L8" s="54"/>
      <c r="M8" s="54"/>
      <c r="N8" s="56"/>
      <c r="O8" s="54"/>
      <c r="P8" s="56"/>
      <c r="Q8" s="54"/>
      <c r="R8" s="56"/>
      <c r="S8" s="54"/>
      <c r="T8" s="57">
        <v>12</v>
      </c>
      <c r="U8" s="58">
        <f t="shared" si="0"/>
        <v>1.2</v>
      </c>
      <c r="V8" s="56"/>
      <c r="W8" s="54"/>
      <c r="X8" s="56"/>
      <c r="Y8" s="54"/>
      <c r="Z8" s="59" t="str">
        <f>IF($B8="","",IF(AND(OR(#REF!="Đã phát hành",#REF!="Hoàn thiện"),M8="Đã bàn giao"),"✔","✘"))</f>
        <v/>
      </c>
      <c r="AA8" s="59" t="str">
        <f t="shared" si="2"/>
        <v/>
      </c>
      <c r="AB8" s="59" t="str">
        <f t="shared" si="3"/>
        <v/>
      </c>
      <c r="AC8" s="59" t="str">
        <f t="shared" si="4"/>
        <v/>
      </c>
      <c r="AD8" s="56"/>
      <c r="AE8" s="59" t="str">
        <f>IF($B8="","",COUNTIFS('01_HSo TienKC'!$B:$B,$B8,'01_HSo TienKC'!$J:$J,"Đã duyệt"))</f>
        <v/>
      </c>
      <c r="AF8" s="40"/>
      <c r="AG8" s="40"/>
      <c r="AH8" s="40"/>
      <c r="AI8" s="59" t="str">
        <f>IF($B8="","",COUNTIFS('02_KH Thang_Tuan'!$B:$B,$B8,'02_KH Thang_Tuan'!$J:$J,"Đã duyệt")&amp;"/"&amp;COUNTIFS('02_KH Thang_Tuan'!$B:$B,$B8))</f>
        <v/>
      </c>
      <c r="AJ8" s="59" t="str">
        <f>IF($B8="","",COUNTIFS('03_Phat sinh'!$C:$C,$B8,'03_Phat sinh'!$M:$M,"&lt;&gt;Đã duyệt"))</f>
        <v/>
      </c>
      <c r="AK8" s="59" t="str">
        <f>IF($B8="","",COUNTIFS('04_CU dac thu'!$C:$C,$B8,'04_CU dac thu'!$N:$N,"&lt;&gt;Đã duyệt"))</f>
        <v/>
      </c>
      <c r="AL8" s="59" t="str">
        <f>IF($B8="","",COUNTIFS('05_Bu tien do'!$B:$B,$B8,'05_Bu tien do'!$N:$N,"&lt;&gt;Đã hoàn thành"))</f>
        <v/>
      </c>
      <c r="AM8" s="60"/>
      <c r="AN8" s="60"/>
      <c r="AO8" s="55"/>
      <c r="AP8" s="60"/>
      <c r="AQ8" s="60"/>
      <c r="AR8" s="55"/>
      <c r="AS8" s="60"/>
      <c r="AT8" s="60"/>
      <c r="AU8" s="55"/>
      <c r="AV8" s="60"/>
      <c r="AW8" s="60"/>
      <c r="AX8" s="55"/>
      <c r="AY8" s="60"/>
      <c r="AZ8" s="60"/>
      <c r="BA8" s="55"/>
      <c r="BB8" s="60"/>
      <c r="BC8" s="60"/>
      <c r="BD8" s="55"/>
    </row>
    <row r="9" spans="1:56" ht="27">
      <c r="A9" s="54" t="s">
        <v>144</v>
      </c>
      <c r="B9" s="54"/>
      <c r="C9" s="54" t="s">
        <v>142</v>
      </c>
      <c r="D9" s="54"/>
      <c r="E9" s="55" t="s">
        <v>145</v>
      </c>
      <c r="F9" s="54"/>
      <c r="G9" s="56"/>
      <c r="H9" s="56"/>
      <c r="I9" s="57">
        <v>20</v>
      </c>
      <c r="J9" s="56"/>
      <c r="K9" s="54"/>
      <c r="L9" s="54"/>
      <c r="M9" s="54"/>
      <c r="N9" s="56"/>
      <c r="O9" s="54"/>
      <c r="P9" s="56"/>
      <c r="Q9" s="54"/>
      <c r="R9" s="56"/>
      <c r="S9" s="54"/>
      <c r="T9" s="57"/>
      <c r="U9" s="58" t="str">
        <f t="shared" si="0"/>
        <v/>
      </c>
      <c r="V9" s="56"/>
      <c r="W9" s="54"/>
      <c r="X9" s="56"/>
      <c r="Y9" s="54"/>
      <c r="Z9" s="59" t="str">
        <f>IF($B9="","",IF(AND(OR(K8="Đã phát hành",K8="Hoàn thiện"),M9="Đã bàn giao"),"✔","✘"))</f>
        <v/>
      </c>
      <c r="AA9" s="59" t="str">
        <f t="shared" si="2"/>
        <v/>
      </c>
      <c r="AB9" s="59" t="str">
        <f t="shared" si="3"/>
        <v/>
      </c>
      <c r="AC9" s="59" t="str">
        <f t="shared" si="4"/>
        <v/>
      </c>
      <c r="AD9" s="56"/>
      <c r="AE9" s="59" t="str">
        <f>IF($B9="","",COUNTIFS('01_HSo TienKC'!$B:$B,$B9,'01_HSo TienKC'!$J:$J,"Đã duyệt"))</f>
        <v/>
      </c>
      <c r="AF9" s="40"/>
      <c r="AG9" s="40"/>
      <c r="AH9" s="40"/>
      <c r="AI9" s="59" t="str">
        <f>IF($B9="","",COUNTIFS('02_KH Thang_Tuan'!$B:$B,$B9,'02_KH Thang_Tuan'!$J:$J,"Đã duyệt")&amp;"/"&amp;COUNTIFS('02_KH Thang_Tuan'!$B:$B,$B9))</f>
        <v/>
      </c>
      <c r="AJ9" s="59" t="str">
        <f>IF($B9="","",COUNTIFS('03_Phat sinh'!$C:$C,$B9,'03_Phat sinh'!$M:$M,"&lt;&gt;Đã duyệt"))</f>
        <v/>
      </c>
      <c r="AK9" s="59" t="str">
        <f>IF($B9="","",COUNTIFS('04_CU dac thu'!$C:$C,$B9,'04_CU dac thu'!$N:$N,"&lt;&gt;Đã duyệt"))</f>
        <v/>
      </c>
      <c r="AL9" s="59" t="str">
        <f>IF($B9="","",COUNTIFS('05_Bu tien do'!$B:$B,$B9,'05_Bu tien do'!$N:$N,"&lt;&gt;Đã hoàn thành"))</f>
        <v/>
      </c>
      <c r="AM9" s="60"/>
      <c r="AN9" s="60"/>
      <c r="AO9" s="55"/>
      <c r="AP9" s="60"/>
      <c r="AQ9" s="60"/>
      <c r="AR9" s="55"/>
      <c r="AS9" s="60"/>
      <c r="AT9" s="60"/>
      <c r="AU9" s="55"/>
      <c r="AV9" s="60"/>
      <c r="AW9" s="60"/>
      <c r="AX9" s="55"/>
      <c r="AY9" s="60"/>
      <c r="AZ9" s="60"/>
      <c r="BA9" s="55"/>
      <c r="BB9" s="60"/>
      <c r="BC9" s="60"/>
      <c r="BD9" s="55"/>
    </row>
    <row r="10" spans="1:56" ht="25.5" customHeight="1">
      <c r="A10" s="54" t="s">
        <v>146</v>
      </c>
      <c r="B10" s="54"/>
      <c r="C10" s="54" t="s">
        <v>147</v>
      </c>
      <c r="D10" s="54"/>
      <c r="E10" s="61" t="s">
        <v>148</v>
      </c>
      <c r="F10" s="54"/>
      <c r="G10" s="56"/>
      <c r="H10" s="56"/>
      <c r="I10" s="57"/>
      <c r="J10" s="56"/>
      <c r="K10" s="54"/>
      <c r="L10" s="54"/>
      <c r="M10" s="54"/>
      <c r="N10" s="56"/>
      <c r="O10" s="54"/>
      <c r="P10" s="56"/>
      <c r="Q10" s="54"/>
      <c r="R10" s="56"/>
      <c r="S10" s="54"/>
      <c r="T10" s="57"/>
      <c r="U10" s="58"/>
      <c r="V10" s="56"/>
      <c r="W10" s="54"/>
      <c r="X10" s="56"/>
      <c r="Y10" s="54"/>
      <c r="Z10" s="59"/>
      <c r="AA10" s="59"/>
      <c r="AB10" s="59"/>
      <c r="AC10" s="59"/>
      <c r="AD10" s="56"/>
      <c r="AE10" s="59"/>
      <c r="AF10" s="40"/>
      <c r="AG10" s="40"/>
      <c r="AH10" s="40"/>
      <c r="AI10" s="59"/>
      <c r="AJ10" s="59" t="str">
        <f>IF($B10="","",COUNTIFS('03_Phat sinh'!$C:$C,$B10,'03_Phat sinh'!$M:$M,"&lt;&gt;Đã duyệt"))</f>
        <v/>
      </c>
      <c r="AK10" s="59" t="str">
        <f>IF($B10="","",COUNTIFS('04_CU dac thu'!$C:$C,$B10,'04_CU dac thu'!$N:$N,"&lt;&gt;Đã duyệt"))</f>
        <v/>
      </c>
      <c r="AL10" s="59" t="str">
        <f>IF($B10="","",COUNTIFS('05_Bu tien do'!$B:$B,$B10,'05_Bu tien do'!$N:$N,"&lt;&gt;Đã hoàn thành"))</f>
        <v/>
      </c>
      <c r="AM10" s="60"/>
      <c r="AN10" s="60"/>
      <c r="AO10" s="55"/>
      <c r="AP10" s="60"/>
      <c r="AQ10" s="60"/>
      <c r="AR10" s="55"/>
      <c r="AS10" s="60"/>
      <c r="AT10" s="60"/>
      <c r="AU10" s="55"/>
      <c r="AV10" s="60"/>
      <c r="AW10" s="60"/>
      <c r="AX10" s="55"/>
      <c r="AY10" s="60"/>
      <c r="AZ10" s="60"/>
      <c r="BA10" s="55"/>
      <c r="BB10" s="60"/>
      <c r="BC10" s="60"/>
      <c r="BD10" s="55"/>
    </row>
    <row r="11" spans="1:56" ht="25.5" customHeight="1">
      <c r="A11" s="54" t="s">
        <v>149</v>
      </c>
      <c r="B11" s="54"/>
      <c r="C11" s="54" t="s">
        <v>147</v>
      </c>
      <c r="D11" s="54"/>
      <c r="E11" s="61" t="s">
        <v>150</v>
      </c>
      <c r="F11" s="54"/>
      <c r="G11" s="56"/>
      <c r="H11" s="56"/>
      <c r="I11" s="57"/>
      <c r="J11" s="56"/>
      <c r="K11" s="54"/>
      <c r="L11" s="54"/>
      <c r="M11" s="54"/>
      <c r="N11" s="56"/>
      <c r="O11" s="54"/>
      <c r="P11" s="56"/>
      <c r="Q11" s="54"/>
      <c r="R11" s="56"/>
      <c r="S11" s="54"/>
      <c r="T11" s="57"/>
      <c r="U11" s="58"/>
      <c r="V11" s="56"/>
      <c r="W11" s="54"/>
      <c r="X11" s="56"/>
      <c r="Y11" s="54"/>
      <c r="Z11" s="59"/>
      <c r="AA11" s="59"/>
      <c r="AB11" s="59"/>
      <c r="AC11" s="59"/>
      <c r="AD11" s="56"/>
      <c r="AE11" s="59"/>
      <c r="AF11" s="40"/>
      <c r="AG11" s="40"/>
      <c r="AH11" s="40"/>
      <c r="AI11" s="59"/>
      <c r="AJ11" s="59" t="str">
        <f>IF($B11="","",COUNTIFS('03_Phat sinh'!$C:$C,$B11,'03_Phat sinh'!$M:$M,"&lt;&gt;Đã duyệt"))</f>
        <v/>
      </c>
      <c r="AK11" s="59" t="str">
        <f>IF($B11="","",COUNTIFS('04_CU dac thu'!$C:$C,$B11,'04_CU dac thu'!$N:$N,"&lt;&gt;Đã duyệt"))</f>
        <v/>
      </c>
      <c r="AL11" s="59" t="str">
        <f>IF($B11="","",COUNTIFS('05_Bu tien do'!$B:$B,$B11,'05_Bu tien do'!$N:$N,"&lt;&gt;Đã hoàn thành"))</f>
        <v/>
      </c>
      <c r="AM11" s="60"/>
      <c r="AN11" s="60"/>
      <c r="AO11" s="55"/>
      <c r="AP11" s="60"/>
      <c r="AQ11" s="60"/>
      <c r="AR11" s="55"/>
      <c r="AS11" s="60"/>
      <c r="AT11" s="60"/>
      <c r="AU11" s="55"/>
      <c r="AV11" s="60"/>
      <c r="AW11" s="60"/>
      <c r="AX11" s="55"/>
      <c r="AY11" s="60"/>
      <c r="AZ11" s="60"/>
      <c r="BA11" s="55"/>
      <c r="BB11" s="60"/>
      <c r="BC11" s="60"/>
      <c r="BD11" s="55"/>
    </row>
    <row r="12" spans="1:56" ht="25.5" customHeight="1">
      <c r="A12" s="54" t="s">
        <v>151</v>
      </c>
      <c r="B12" s="54"/>
      <c r="C12" s="54" t="s">
        <v>147</v>
      </c>
      <c r="D12" s="54"/>
      <c r="E12" s="61" t="s">
        <v>152</v>
      </c>
      <c r="F12" s="54"/>
      <c r="G12" s="56"/>
      <c r="H12" s="56"/>
      <c r="I12" s="57"/>
      <c r="J12" s="56"/>
      <c r="K12" s="54"/>
      <c r="L12" s="54"/>
      <c r="M12" s="54"/>
      <c r="N12" s="56"/>
      <c r="O12" s="54"/>
      <c r="P12" s="56"/>
      <c r="Q12" s="54"/>
      <c r="R12" s="56"/>
      <c r="S12" s="54"/>
      <c r="T12" s="57"/>
      <c r="U12" s="58"/>
      <c r="V12" s="56"/>
      <c r="W12" s="54"/>
      <c r="X12" s="56"/>
      <c r="Y12" s="54"/>
      <c r="Z12" s="59"/>
      <c r="AA12" s="59"/>
      <c r="AB12" s="59"/>
      <c r="AC12" s="59"/>
      <c r="AD12" s="56"/>
      <c r="AE12" s="59"/>
      <c r="AF12" s="40"/>
      <c r="AG12" s="40"/>
      <c r="AH12" s="40"/>
      <c r="AI12" s="59"/>
      <c r="AJ12" s="59" t="str">
        <f>IF($B12="","",COUNTIFS('03_Phat sinh'!$C:$C,$B12,'03_Phat sinh'!$M:$M,"&lt;&gt;Đã duyệt"))</f>
        <v/>
      </c>
      <c r="AK12" s="59" t="str">
        <f>IF($B12="","",COUNTIFS('04_CU dac thu'!$C:$C,$B12,'04_CU dac thu'!$N:$N,"&lt;&gt;Đã duyệt"))</f>
        <v/>
      </c>
      <c r="AL12" s="59" t="str">
        <f>IF($B12="","",COUNTIFS('05_Bu tien do'!$B:$B,$B12,'05_Bu tien do'!$N:$N,"&lt;&gt;Đã hoàn thành"))</f>
        <v/>
      </c>
      <c r="AM12" s="60"/>
      <c r="AN12" s="60"/>
      <c r="AO12" s="55"/>
      <c r="AP12" s="60"/>
      <c r="AQ12" s="60"/>
      <c r="AR12" s="55"/>
      <c r="AS12" s="60"/>
      <c r="AT12" s="60"/>
      <c r="AU12" s="55"/>
      <c r="AV12" s="60"/>
      <c r="AW12" s="60"/>
      <c r="AX12" s="55"/>
      <c r="AY12" s="60"/>
      <c r="AZ12" s="60"/>
      <c r="BA12" s="55"/>
      <c r="BB12" s="60"/>
      <c r="BC12" s="60"/>
      <c r="BD12" s="55"/>
    </row>
    <row r="13" spans="1:56" ht="25.5" customHeight="1">
      <c r="A13" s="54" t="s">
        <v>153</v>
      </c>
      <c r="B13" s="54"/>
      <c r="C13" s="54" t="s">
        <v>147</v>
      </c>
      <c r="D13" s="54"/>
      <c r="E13" s="61" t="s">
        <v>154</v>
      </c>
      <c r="F13" s="54"/>
      <c r="G13" s="56"/>
      <c r="H13" s="56"/>
      <c r="I13" s="57"/>
      <c r="J13" s="56"/>
      <c r="K13" s="54"/>
      <c r="L13" s="54"/>
      <c r="M13" s="54"/>
      <c r="N13" s="56"/>
      <c r="O13" s="54"/>
      <c r="P13" s="56"/>
      <c r="Q13" s="54"/>
      <c r="R13" s="56"/>
      <c r="S13" s="54"/>
      <c r="T13" s="57"/>
      <c r="U13" s="58"/>
      <c r="V13" s="56"/>
      <c r="W13" s="54"/>
      <c r="X13" s="56"/>
      <c r="Y13" s="54"/>
      <c r="Z13" s="59"/>
      <c r="AA13" s="59"/>
      <c r="AB13" s="59"/>
      <c r="AC13" s="59"/>
      <c r="AD13" s="56"/>
      <c r="AE13" s="59"/>
      <c r="AF13" s="40"/>
      <c r="AG13" s="40"/>
      <c r="AH13" s="40"/>
      <c r="AI13" s="59"/>
      <c r="AJ13" s="59" t="str">
        <f>IF($B13="","",COUNTIFS('03_Phat sinh'!$C:$C,$B13,'03_Phat sinh'!$M:$M,"&lt;&gt;Đã duyệt"))</f>
        <v/>
      </c>
      <c r="AK13" s="59" t="str">
        <f>IF($B13="","",COUNTIFS('04_CU dac thu'!$C:$C,$B13,'04_CU dac thu'!$N:$N,"&lt;&gt;Đã duyệt"))</f>
        <v/>
      </c>
      <c r="AL13" s="59" t="str">
        <f>IF($B13="","",COUNTIFS('05_Bu tien do'!$B:$B,$B13,'05_Bu tien do'!$N:$N,"&lt;&gt;Đã hoàn thành"))</f>
        <v/>
      </c>
      <c r="AM13" s="60"/>
      <c r="AN13" s="60"/>
      <c r="AO13" s="55"/>
      <c r="AP13" s="60"/>
      <c r="AQ13" s="60"/>
      <c r="AR13" s="55"/>
      <c r="AS13" s="60"/>
      <c r="AT13" s="60"/>
      <c r="AU13" s="55"/>
      <c r="AV13" s="60"/>
      <c r="AW13" s="60"/>
      <c r="AX13" s="55"/>
      <c r="AY13" s="60"/>
      <c r="AZ13" s="60"/>
      <c r="BA13" s="55"/>
      <c r="BB13" s="60"/>
      <c r="BC13" s="60"/>
      <c r="BD13" s="55"/>
    </row>
    <row r="14" spans="1:56" ht="25.5" customHeight="1">
      <c r="A14" s="54" t="s">
        <v>155</v>
      </c>
      <c r="B14" s="54"/>
      <c r="C14" s="54" t="s">
        <v>147</v>
      </c>
      <c r="D14" s="54"/>
      <c r="E14" s="61" t="s">
        <v>156</v>
      </c>
      <c r="F14" s="54"/>
      <c r="G14" s="56"/>
      <c r="H14" s="56"/>
      <c r="I14" s="57"/>
      <c r="J14" s="56"/>
      <c r="K14" s="54"/>
      <c r="L14" s="54"/>
      <c r="M14" s="54"/>
      <c r="N14" s="56"/>
      <c r="O14" s="54"/>
      <c r="P14" s="56"/>
      <c r="Q14" s="54"/>
      <c r="R14" s="56"/>
      <c r="S14" s="54"/>
      <c r="T14" s="57"/>
      <c r="U14" s="58"/>
      <c r="V14" s="56"/>
      <c r="W14" s="54"/>
      <c r="X14" s="56"/>
      <c r="Y14" s="54"/>
      <c r="Z14" s="59"/>
      <c r="AA14" s="59"/>
      <c r="AB14" s="59"/>
      <c r="AC14" s="59"/>
      <c r="AD14" s="56"/>
      <c r="AE14" s="59"/>
      <c r="AF14" s="40"/>
      <c r="AG14" s="40"/>
      <c r="AH14" s="40"/>
      <c r="AI14" s="59"/>
      <c r="AJ14" s="59" t="str">
        <f>IF($B14="","",COUNTIFS('03_Phat sinh'!$C:$C,$B14,'03_Phat sinh'!$M:$M,"&lt;&gt;Đã duyệt"))</f>
        <v/>
      </c>
      <c r="AK14" s="59" t="str">
        <f>IF($B14="","",COUNTIFS('04_CU dac thu'!$C:$C,$B14,'04_CU dac thu'!$N:$N,"&lt;&gt;Đã duyệt"))</f>
        <v/>
      </c>
      <c r="AL14" s="59" t="str">
        <f>IF($B14="","",COUNTIFS('05_Bu tien do'!$B:$B,$B14,'05_Bu tien do'!$N:$N,"&lt;&gt;Đã hoàn thành"))</f>
        <v/>
      </c>
      <c r="AM14" s="60"/>
      <c r="AN14" s="60"/>
      <c r="AO14" s="55"/>
      <c r="AP14" s="60"/>
      <c r="AQ14" s="60"/>
      <c r="AR14" s="55"/>
      <c r="AS14" s="60"/>
      <c r="AT14" s="60"/>
      <c r="AU14" s="55"/>
      <c r="AV14" s="60"/>
      <c r="AW14" s="60"/>
      <c r="AX14" s="55"/>
      <c r="AY14" s="60"/>
      <c r="AZ14" s="60"/>
      <c r="BA14" s="55"/>
      <c r="BB14" s="60"/>
      <c r="BC14" s="60"/>
      <c r="BD14" s="55"/>
    </row>
    <row r="15" spans="1:56" ht="25.5" customHeight="1">
      <c r="A15" s="54" t="s">
        <v>157</v>
      </c>
      <c r="B15" s="54"/>
      <c r="C15" s="54" t="s">
        <v>142</v>
      </c>
      <c r="D15" s="54"/>
      <c r="E15" s="55" t="s">
        <v>158</v>
      </c>
      <c r="F15" s="54"/>
      <c r="G15" s="56"/>
      <c r="H15" s="56"/>
      <c r="I15" s="57"/>
      <c r="J15" s="56"/>
      <c r="K15" s="54"/>
      <c r="L15" s="54"/>
      <c r="M15" s="54"/>
      <c r="N15" s="56"/>
      <c r="O15" s="54"/>
      <c r="P15" s="56"/>
      <c r="Q15" s="54"/>
      <c r="R15" s="56"/>
      <c r="S15" s="54"/>
      <c r="T15" s="57"/>
      <c r="U15" s="58" t="str">
        <f t="shared" si="0"/>
        <v/>
      </c>
      <c r="V15" s="56"/>
      <c r="W15" s="54"/>
      <c r="X15" s="56"/>
      <c r="Y15" s="54"/>
      <c r="Z15" s="59" t="str">
        <f t="shared" si="1"/>
        <v/>
      </c>
      <c r="AA15" s="59" t="str">
        <f t="shared" si="2"/>
        <v/>
      </c>
      <c r="AB15" s="59" t="str">
        <f t="shared" si="3"/>
        <v/>
      </c>
      <c r="AC15" s="59" t="str">
        <f t="shared" si="4"/>
        <v/>
      </c>
      <c r="AD15" s="56"/>
      <c r="AE15" s="59" t="str">
        <f>IF($B15="","",COUNTIFS('01_HSo TienKC'!$B:$B,$B15,'01_HSo TienKC'!$J:$J,"Đã duyệt"))</f>
        <v/>
      </c>
      <c r="AF15" s="40"/>
      <c r="AG15" s="40"/>
      <c r="AH15" s="40"/>
      <c r="AI15" s="59" t="str">
        <f>IF($B15="","",COUNTIFS('02_KH Thang_Tuan'!$B:$B,$B15,'02_KH Thang_Tuan'!$J:$J,"Đã duyệt")&amp;"/"&amp;COUNTIFS('02_KH Thang_Tuan'!$B:$B,$B15))</f>
        <v/>
      </c>
      <c r="AJ15" s="59" t="str">
        <f>IF($B15="","",COUNTIFS('03_Phat sinh'!$C:$C,$B15,'03_Phat sinh'!$M:$M,"&lt;&gt;Đã duyệt"))</f>
        <v/>
      </c>
      <c r="AK15" s="59" t="str">
        <f>IF($B15="","",COUNTIFS('04_CU dac thu'!$C:$C,$B15,'04_CU dac thu'!$N:$N,"&lt;&gt;Đã duyệt"))</f>
        <v/>
      </c>
      <c r="AL15" s="59" t="str">
        <f>IF($B15="","",COUNTIFS('05_Bu tien do'!$B:$B,$B15,'05_Bu tien do'!$N:$N,"&lt;&gt;Đã hoàn thành"))</f>
        <v/>
      </c>
      <c r="AM15" s="60"/>
      <c r="AN15" s="60"/>
      <c r="AO15" s="55"/>
      <c r="AP15" s="60"/>
      <c r="AQ15" s="60"/>
      <c r="AR15" s="55"/>
      <c r="AS15" s="60"/>
      <c r="AT15" s="60"/>
      <c r="AU15" s="55"/>
      <c r="AV15" s="60"/>
      <c r="AW15" s="60"/>
      <c r="AX15" s="55"/>
      <c r="AY15" s="60"/>
      <c r="AZ15" s="60"/>
      <c r="BA15" s="55"/>
      <c r="BB15" s="60"/>
      <c r="BC15" s="60"/>
      <c r="BD15" s="55"/>
    </row>
    <row r="16" spans="1:56" ht="25.5" customHeight="1">
      <c r="A16" s="54" t="s">
        <v>159</v>
      </c>
      <c r="B16" s="54"/>
      <c r="C16" s="54" t="s">
        <v>142</v>
      </c>
      <c r="D16" s="54"/>
      <c r="E16" s="55" t="s">
        <v>160</v>
      </c>
      <c r="F16" s="54"/>
      <c r="G16" s="56"/>
      <c r="H16" s="56"/>
      <c r="I16" s="57"/>
      <c r="J16" s="56"/>
      <c r="K16" s="54"/>
      <c r="L16" s="54"/>
      <c r="M16" s="54"/>
      <c r="N16" s="56"/>
      <c r="O16" s="54"/>
      <c r="P16" s="56"/>
      <c r="Q16" s="54"/>
      <c r="R16" s="56"/>
      <c r="S16" s="54"/>
      <c r="T16" s="57"/>
      <c r="U16" s="58" t="str">
        <f t="shared" si="0"/>
        <v/>
      </c>
      <c r="V16" s="56"/>
      <c r="W16" s="54"/>
      <c r="X16" s="56"/>
      <c r="Y16" s="54"/>
      <c r="Z16" s="59" t="str">
        <f t="shared" si="1"/>
        <v/>
      </c>
      <c r="AA16" s="59" t="str">
        <f t="shared" si="2"/>
        <v/>
      </c>
      <c r="AB16" s="59" t="str">
        <f t="shared" si="3"/>
        <v/>
      </c>
      <c r="AC16" s="59" t="str">
        <f t="shared" si="4"/>
        <v/>
      </c>
      <c r="AD16" s="56"/>
      <c r="AE16" s="59" t="str">
        <f>IF($B16="","",COUNTIFS('01_HSo TienKC'!$B:$B,$B16,'01_HSo TienKC'!$J:$J,"Đã duyệt"))</f>
        <v/>
      </c>
      <c r="AF16" s="40"/>
      <c r="AG16" s="40"/>
      <c r="AH16" s="40"/>
      <c r="AI16" s="59" t="str">
        <f>IF($B16="","",COUNTIFS('02_KH Thang_Tuan'!$B:$B,$B16,'02_KH Thang_Tuan'!$J:$J,"Đã duyệt")&amp;"/"&amp;COUNTIFS('02_KH Thang_Tuan'!$B:$B,$B16))</f>
        <v/>
      </c>
      <c r="AJ16" s="59" t="str">
        <f>IF($B16="","",COUNTIFS('03_Phat sinh'!$C:$C,$B16,'03_Phat sinh'!$M:$M,"&lt;&gt;Đã duyệt"))</f>
        <v/>
      </c>
      <c r="AK16" s="59" t="str">
        <f>IF($B16="","",COUNTIFS('04_CU dac thu'!$C:$C,$B16,'04_CU dac thu'!$N:$N,"&lt;&gt;Đã duyệt"))</f>
        <v/>
      </c>
      <c r="AL16" s="59" t="str">
        <f>IF($B16="","",COUNTIFS('05_Bu tien do'!$B:$B,$B16,'05_Bu tien do'!$N:$N,"&lt;&gt;Đã hoàn thành"))</f>
        <v/>
      </c>
      <c r="AM16" s="60"/>
      <c r="AN16" s="60"/>
      <c r="AO16" s="55"/>
      <c r="AP16" s="60"/>
      <c r="AQ16" s="60"/>
      <c r="AR16" s="55"/>
      <c r="AS16" s="60"/>
      <c r="AT16" s="60"/>
      <c r="AU16" s="55"/>
      <c r="AV16" s="60"/>
      <c r="AW16" s="60"/>
      <c r="AX16" s="55"/>
      <c r="AY16" s="60"/>
      <c r="AZ16" s="60"/>
      <c r="BA16" s="55"/>
      <c r="BB16" s="60"/>
      <c r="BC16" s="60"/>
      <c r="BD16" s="55"/>
    </row>
    <row r="17" spans="1:56" ht="25.5" customHeight="1">
      <c r="A17" s="54" t="s">
        <v>161</v>
      </c>
      <c r="B17" s="54"/>
      <c r="C17" s="54" t="s">
        <v>142</v>
      </c>
      <c r="D17" s="54"/>
      <c r="E17" s="55" t="s">
        <v>162</v>
      </c>
      <c r="F17" s="54"/>
      <c r="G17" s="56"/>
      <c r="H17" s="56"/>
      <c r="I17" s="57"/>
      <c r="J17" s="56"/>
      <c r="K17" s="54"/>
      <c r="L17" s="54"/>
      <c r="M17" s="54"/>
      <c r="N17" s="56"/>
      <c r="O17" s="54"/>
      <c r="P17" s="56"/>
      <c r="Q17" s="54"/>
      <c r="R17" s="56"/>
      <c r="S17" s="54"/>
      <c r="T17" s="57"/>
      <c r="U17" s="58" t="str">
        <f t="shared" si="0"/>
        <v/>
      </c>
      <c r="V17" s="56"/>
      <c r="W17" s="54"/>
      <c r="X17" s="56"/>
      <c r="Y17" s="54"/>
      <c r="Z17" s="59" t="str">
        <f t="shared" si="1"/>
        <v/>
      </c>
      <c r="AA17" s="59" t="str">
        <f t="shared" si="2"/>
        <v/>
      </c>
      <c r="AB17" s="59" t="str">
        <f t="shared" si="3"/>
        <v/>
      </c>
      <c r="AC17" s="59" t="str">
        <f t="shared" si="4"/>
        <v/>
      </c>
      <c r="AD17" s="56"/>
      <c r="AE17" s="59" t="str">
        <f>IF($B17="","",COUNTIFS('01_HSo TienKC'!$B:$B,$B17,'01_HSo TienKC'!$J:$J,"Đã duyệt"))</f>
        <v/>
      </c>
      <c r="AF17" s="40"/>
      <c r="AG17" s="40"/>
      <c r="AH17" s="40"/>
      <c r="AI17" s="59" t="str">
        <f>IF($B17="","",COUNTIFS('02_KH Thang_Tuan'!$B:$B,$B17,'02_KH Thang_Tuan'!$J:$J,"Đã duyệt")&amp;"/"&amp;COUNTIFS('02_KH Thang_Tuan'!$B:$B,$B17))</f>
        <v/>
      </c>
      <c r="AJ17" s="59" t="str">
        <f>IF($B17="","",COUNTIFS('03_Phat sinh'!$C:$C,$B17,'03_Phat sinh'!$M:$M,"&lt;&gt;Đã duyệt"))</f>
        <v/>
      </c>
      <c r="AK17" s="59" t="str">
        <f>IF($B17="","",COUNTIFS('04_CU dac thu'!$C:$C,$B17,'04_CU dac thu'!$N:$N,"&lt;&gt;Đã duyệt"))</f>
        <v/>
      </c>
      <c r="AL17" s="59" t="str">
        <f>IF($B17="","",COUNTIFS('05_Bu tien do'!$B:$B,$B17,'05_Bu tien do'!$N:$N,"&lt;&gt;Đã hoàn thành"))</f>
        <v/>
      </c>
      <c r="AM17" s="60"/>
      <c r="AN17" s="60"/>
      <c r="AO17" s="55"/>
      <c r="AP17" s="60"/>
      <c r="AQ17" s="60"/>
      <c r="AR17" s="55"/>
      <c r="AS17" s="60"/>
      <c r="AT17" s="60"/>
      <c r="AU17" s="55"/>
      <c r="AV17" s="60"/>
      <c r="AW17" s="60"/>
      <c r="AX17" s="55"/>
      <c r="AY17" s="60"/>
      <c r="AZ17" s="60"/>
      <c r="BA17" s="55"/>
      <c r="BB17" s="60"/>
      <c r="BC17" s="60"/>
      <c r="BD17" s="55"/>
    </row>
    <row r="18" spans="1:56" ht="25.5" customHeight="1">
      <c r="A18" s="54" t="s">
        <v>163</v>
      </c>
      <c r="B18" s="54"/>
      <c r="C18" s="54" t="s">
        <v>142</v>
      </c>
      <c r="D18" s="54"/>
      <c r="E18" s="55" t="s">
        <v>164</v>
      </c>
      <c r="F18" s="54"/>
      <c r="G18" s="56"/>
      <c r="H18" s="56"/>
      <c r="I18" s="57"/>
      <c r="J18" s="56"/>
      <c r="K18" s="54"/>
      <c r="L18" s="54"/>
      <c r="M18" s="54"/>
      <c r="N18" s="56"/>
      <c r="O18" s="54"/>
      <c r="P18" s="56"/>
      <c r="Q18" s="54"/>
      <c r="R18" s="56"/>
      <c r="S18" s="54"/>
      <c r="T18" s="57"/>
      <c r="U18" s="58" t="str">
        <f t="shared" si="0"/>
        <v/>
      </c>
      <c r="V18" s="56"/>
      <c r="W18" s="54"/>
      <c r="X18" s="56"/>
      <c r="Y18" s="54"/>
      <c r="Z18" s="59" t="str">
        <f t="shared" si="1"/>
        <v/>
      </c>
      <c r="AA18" s="59" t="str">
        <f t="shared" si="2"/>
        <v/>
      </c>
      <c r="AB18" s="59" t="str">
        <f t="shared" si="3"/>
        <v/>
      </c>
      <c r="AC18" s="59" t="str">
        <f t="shared" si="4"/>
        <v/>
      </c>
      <c r="AD18" s="56"/>
      <c r="AE18" s="59" t="str">
        <f>IF($B18="","",COUNTIFS('01_HSo TienKC'!$B:$B,$B18,'01_HSo TienKC'!$J:$J,"Đã duyệt"))</f>
        <v/>
      </c>
      <c r="AF18" s="40"/>
      <c r="AG18" s="40"/>
      <c r="AH18" s="40"/>
      <c r="AI18" s="59" t="str">
        <f>IF($B18="","",COUNTIFS('02_KH Thang_Tuan'!$B:$B,$B18,'02_KH Thang_Tuan'!$J:$J,"Đã duyệt")&amp;"/"&amp;COUNTIFS('02_KH Thang_Tuan'!$B:$B,$B18))</f>
        <v/>
      </c>
      <c r="AJ18" s="59" t="str">
        <f>IF($B18="","",COUNTIFS('03_Phat sinh'!$C:$C,$B18,'03_Phat sinh'!$M:$M,"&lt;&gt;Đã duyệt"))</f>
        <v/>
      </c>
      <c r="AK18" s="59" t="str">
        <f>IF($B18="","",COUNTIFS('04_CU dac thu'!$C:$C,$B18,'04_CU dac thu'!$N:$N,"&lt;&gt;Đã duyệt"))</f>
        <v/>
      </c>
      <c r="AL18" s="59" t="str">
        <f>IF($B18="","",COUNTIFS('05_Bu tien do'!$B:$B,$B18,'05_Bu tien do'!$N:$N,"&lt;&gt;Đã hoàn thành"))</f>
        <v/>
      </c>
      <c r="AM18" s="60"/>
      <c r="AN18" s="60"/>
      <c r="AO18" s="55"/>
      <c r="AP18" s="60"/>
      <c r="AQ18" s="60"/>
      <c r="AR18" s="55"/>
      <c r="AS18" s="60"/>
      <c r="AT18" s="60"/>
      <c r="AU18" s="55"/>
      <c r="AV18" s="60"/>
      <c r="AW18" s="60"/>
      <c r="AX18" s="55"/>
      <c r="AY18" s="60"/>
      <c r="AZ18" s="60"/>
      <c r="BA18" s="55"/>
      <c r="BB18" s="60"/>
      <c r="BC18" s="60"/>
      <c r="BD18" s="55"/>
    </row>
    <row r="19" spans="1:56" ht="25.5" customHeight="1">
      <c r="A19" s="54" t="s">
        <v>165</v>
      </c>
      <c r="B19" s="54"/>
      <c r="C19" s="54" t="s">
        <v>142</v>
      </c>
      <c r="D19" s="54"/>
      <c r="E19" s="55" t="s">
        <v>166</v>
      </c>
      <c r="F19" s="54"/>
      <c r="G19" s="56"/>
      <c r="H19" s="56"/>
      <c r="I19" s="57"/>
      <c r="J19" s="56"/>
      <c r="K19" s="54"/>
      <c r="L19" s="54"/>
      <c r="M19" s="54"/>
      <c r="N19" s="56"/>
      <c r="O19" s="54"/>
      <c r="P19" s="56"/>
      <c r="Q19" s="54"/>
      <c r="R19" s="56"/>
      <c r="S19" s="54"/>
      <c r="T19" s="57"/>
      <c r="U19" s="58" t="str">
        <f t="shared" si="0"/>
        <v/>
      </c>
      <c r="V19" s="56"/>
      <c r="W19" s="54"/>
      <c r="X19" s="56"/>
      <c r="Y19" s="54"/>
      <c r="Z19" s="59" t="str">
        <f t="shared" si="1"/>
        <v/>
      </c>
      <c r="AA19" s="59" t="str">
        <f t="shared" si="2"/>
        <v/>
      </c>
      <c r="AB19" s="59" t="str">
        <f t="shared" si="3"/>
        <v/>
      </c>
      <c r="AC19" s="59" t="str">
        <f t="shared" si="4"/>
        <v/>
      </c>
      <c r="AD19" s="56"/>
      <c r="AE19" s="59" t="str">
        <f>IF($B19="","",COUNTIFS('01_HSo TienKC'!$B:$B,$B19,'01_HSo TienKC'!$J:$J,"Đã duyệt"))</f>
        <v/>
      </c>
      <c r="AF19" s="40"/>
      <c r="AG19" s="40"/>
      <c r="AH19" s="40"/>
      <c r="AI19" s="59" t="str">
        <f>IF($B19="","",COUNTIFS('02_KH Thang_Tuan'!$B:$B,$B19,'02_KH Thang_Tuan'!$J:$J,"Đã duyệt")&amp;"/"&amp;COUNTIFS('02_KH Thang_Tuan'!$B:$B,$B19))</f>
        <v/>
      </c>
      <c r="AJ19" s="59" t="str">
        <f>IF($B19="","",COUNTIFS('03_Phat sinh'!$C:$C,$B19,'03_Phat sinh'!$M:$M,"&lt;&gt;Đã duyệt"))</f>
        <v/>
      </c>
      <c r="AK19" s="59" t="str">
        <f>IF($B19="","",COUNTIFS('04_CU dac thu'!$C:$C,$B19,'04_CU dac thu'!$N:$N,"&lt;&gt;Đã duyệt"))</f>
        <v/>
      </c>
      <c r="AL19" s="59" t="str">
        <f>IF($B19="","",COUNTIFS('05_Bu tien do'!$B:$B,$B19,'05_Bu tien do'!$N:$N,"&lt;&gt;Đã hoàn thành"))</f>
        <v/>
      </c>
      <c r="AM19" s="60"/>
      <c r="AN19" s="60"/>
      <c r="AO19" s="55"/>
      <c r="AP19" s="60"/>
      <c r="AQ19" s="60"/>
      <c r="AR19" s="55"/>
      <c r="AS19" s="60"/>
      <c r="AT19" s="60"/>
      <c r="AU19" s="55"/>
      <c r="AV19" s="60"/>
      <c r="AW19" s="60"/>
      <c r="AX19" s="55"/>
      <c r="AY19" s="60"/>
      <c r="AZ19" s="60"/>
      <c r="BA19" s="55"/>
      <c r="BB19" s="60"/>
      <c r="BC19" s="60"/>
      <c r="BD19" s="55"/>
    </row>
    <row r="20" spans="1:56" ht="25.5" customHeight="1">
      <c r="A20" s="54" t="s">
        <v>167</v>
      </c>
      <c r="B20" s="54"/>
      <c r="C20" s="54" t="s">
        <v>142</v>
      </c>
      <c r="D20" s="54"/>
      <c r="E20" s="55" t="s">
        <v>168</v>
      </c>
      <c r="F20" s="54"/>
      <c r="G20" s="56"/>
      <c r="H20" s="56"/>
      <c r="I20" s="57"/>
      <c r="J20" s="56"/>
      <c r="K20" s="54"/>
      <c r="L20" s="54"/>
      <c r="M20" s="54"/>
      <c r="N20" s="56"/>
      <c r="O20" s="54"/>
      <c r="P20" s="56"/>
      <c r="Q20" s="54"/>
      <c r="R20" s="56"/>
      <c r="S20" s="54"/>
      <c r="T20" s="57"/>
      <c r="U20" s="58" t="str">
        <f t="shared" si="0"/>
        <v/>
      </c>
      <c r="V20" s="56"/>
      <c r="W20" s="54"/>
      <c r="X20" s="56"/>
      <c r="Y20" s="54"/>
      <c r="Z20" s="59" t="str">
        <f t="shared" si="1"/>
        <v/>
      </c>
      <c r="AA20" s="59" t="str">
        <f t="shared" si="2"/>
        <v/>
      </c>
      <c r="AB20" s="59" t="str">
        <f t="shared" si="3"/>
        <v/>
      </c>
      <c r="AC20" s="59" t="str">
        <f t="shared" si="4"/>
        <v/>
      </c>
      <c r="AD20" s="56"/>
      <c r="AE20" s="59" t="str">
        <f>IF($B20="","",COUNTIFS('01_HSo TienKC'!$B:$B,$B20,'01_HSo TienKC'!$J:$J,"Đã duyệt"))</f>
        <v/>
      </c>
      <c r="AF20" s="40"/>
      <c r="AG20" s="40"/>
      <c r="AH20" s="40"/>
      <c r="AI20" s="59" t="str">
        <f>IF($B20="","",COUNTIFS('02_KH Thang_Tuan'!$B:$B,$B20,'02_KH Thang_Tuan'!$J:$J,"Đã duyệt")&amp;"/"&amp;COUNTIFS('02_KH Thang_Tuan'!$B:$B,$B20))</f>
        <v/>
      </c>
      <c r="AJ20" s="59" t="str">
        <f>IF($B20="","",COUNTIFS('03_Phat sinh'!$C:$C,$B20,'03_Phat sinh'!$M:$M,"&lt;&gt;Đã duyệt"))</f>
        <v/>
      </c>
      <c r="AK20" s="59" t="str">
        <f>IF($B20="","",COUNTIFS('04_CU dac thu'!$C:$C,$B20,'04_CU dac thu'!$N:$N,"&lt;&gt;Đã duyệt"))</f>
        <v/>
      </c>
      <c r="AL20" s="59" t="str">
        <f>IF($B20="","",COUNTIFS('05_Bu tien do'!$B:$B,$B20,'05_Bu tien do'!$N:$N,"&lt;&gt;Đã hoàn thành"))</f>
        <v/>
      </c>
      <c r="AM20" s="60"/>
      <c r="AN20" s="60"/>
      <c r="AO20" s="55"/>
      <c r="AP20" s="60"/>
      <c r="AQ20" s="60"/>
      <c r="AR20" s="55"/>
      <c r="AS20" s="60"/>
      <c r="AT20" s="60"/>
      <c r="AU20" s="55"/>
      <c r="AV20" s="60"/>
      <c r="AW20" s="60"/>
      <c r="AX20" s="55"/>
      <c r="AY20" s="60"/>
      <c r="AZ20" s="60"/>
      <c r="BA20" s="55"/>
      <c r="BB20" s="60"/>
      <c r="BC20" s="60"/>
      <c r="BD20" s="55"/>
    </row>
    <row r="21" spans="1:56" ht="25.5" customHeight="1">
      <c r="A21" s="54" t="s">
        <v>169</v>
      </c>
      <c r="B21" s="54"/>
      <c r="C21" s="54" t="s">
        <v>142</v>
      </c>
      <c r="D21" s="54"/>
      <c r="E21" s="55" t="s">
        <v>170</v>
      </c>
      <c r="F21" s="54"/>
      <c r="G21" s="56"/>
      <c r="H21" s="56"/>
      <c r="I21" s="57"/>
      <c r="J21" s="56"/>
      <c r="K21" s="54"/>
      <c r="L21" s="54"/>
      <c r="M21" s="54"/>
      <c r="N21" s="56"/>
      <c r="O21" s="54"/>
      <c r="P21" s="56"/>
      <c r="Q21" s="54"/>
      <c r="R21" s="56"/>
      <c r="S21" s="54"/>
      <c r="T21" s="57"/>
      <c r="U21" s="58" t="str">
        <f t="shared" si="0"/>
        <v/>
      </c>
      <c r="V21" s="56"/>
      <c r="W21" s="54"/>
      <c r="X21" s="56"/>
      <c r="Y21" s="54"/>
      <c r="Z21" s="59" t="str">
        <f t="shared" si="1"/>
        <v/>
      </c>
      <c r="AA21" s="59" t="str">
        <f t="shared" si="2"/>
        <v/>
      </c>
      <c r="AB21" s="59" t="str">
        <f t="shared" si="3"/>
        <v/>
      </c>
      <c r="AC21" s="59" t="str">
        <f t="shared" si="4"/>
        <v/>
      </c>
      <c r="AD21" s="56"/>
      <c r="AE21" s="59" t="str">
        <f>IF($B21="","",COUNTIFS('01_HSo TienKC'!$B:$B,$B21,'01_HSo TienKC'!$J:$J,"Đã duyệt"))</f>
        <v/>
      </c>
      <c r="AF21" s="40"/>
      <c r="AG21" s="40"/>
      <c r="AH21" s="40"/>
      <c r="AI21" s="59" t="str">
        <f>IF($B21="","",COUNTIFS('02_KH Thang_Tuan'!$B:$B,$B21,'02_KH Thang_Tuan'!$J:$J,"Đã duyệt")&amp;"/"&amp;COUNTIFS('02_KH Thang_Tuan'!$B:$B,$B21))</f>
        <v/>
      </c>
      <c r="AJ21" s="59" t="str">
        <f>IF($B21="","",COUNTIFS('03_Phat sinh'!$C:$C,$B21,'03_Phat sinh'!$M:$M,"&lt;&gt;Đã duyệt"))</f>
        <v/>
      </c>
      <c r="AK21" s="59" t="str">
        <f>IF($B21="","",COUNTIFS('04_CU dac thu'!$C:$C,$B21,'04_CU dac thu'!$N:$N,"&lt;&gt;Đã duyệt"))</f>
        <v/>
      </c>
      <c r="AL21" s="59" t="str">
        <f>IF($B21="","",COUNTIFS('05_Bu tien do'!$B:$B,$B21,'05_Bu tien do'!$N:$N,"&lt;&gt;Đã hoàn thành"))</f>
        <v/>
      </c>
      <c r="AM21" s="60"/>
      <c r="AN21" s="60"/>
      <c r="AO21" s="55"/>
      <c r="AP21" s="60"/>
      <c r="AQ21" s="60"/>
      <c r="AR21" s="55"/>
      <c r="AS21" s="60"/>
      <c r="AT21" s="60"/>
      <c r="AU21" s="55"/>
      <c r="AV21" s="60"/>
      <c r="AW21" s="60"/>
      <c r="AX21" s="55"/>
      <c r="AY21" s="60"/>
      <c r="AZ21" s="60"/>
      <c r="BA21" s="55"/>
      <c r="BB21" s="60"/>
      <c r="BC21" s="60"/>
      <c r="BD21" s="55"/>
    </row>
    <row r="22" spans="1:56" ht="25.5" customHeight="1">
      <c r="A22" s="54" t="s">
        <v>171</v>
      </c>
      <c r="B22" s="54"/>
      <c r="C22" s="54" t="s">
        <v>142</v>
      </c>
      <c r="D22" s="54"/>
      <c r="E22" s="55" t="s">
        <v>172</v>
      </c>
      <c r="F22" s="54"/>
      <c r="G22" s="56"/>
      <c r="H22" s="56"/>
      <c r="I22" s="57"/>
      <c r="J22" s="56"/>
      <c r="K22" s="54"/>
      <c r="L22" s="54"/>
      <c r="M22" s="54"/>
      <c r="N22" s="56"/>
      <c r="O22" s="54"/>
      <c r="P22" s="56"/>
      <c r="Q22" s="54"/>
      <c r="R22" s="56"/>
      <c r="S22" s="54"/>
      <c r="T22" s="57"/>
      <c r="U22" s="58" t="str">
        <f t="shared" si="0"/>
        <v/>
      </c>
      <c r="V22" s="56"/>
      <c r="W22" s="54"/>
      <c r="X22" s="56"/>
      <c r="Y22" s="54"/>
      <c r="Z22" s="59" t="str">
        <f t="shared" si="1"/>
        <v/>
      </c>
      <c r="AA22" s="59" t="str">
        <f t="shared" si="2"/>
        <v/>
      </c>
      <c r="AB22" s="59" t="str">
        <f t="shared" si="3"/>
        <v/>
      </c>
      <c r="AC22" s="59" t="str">
        <f t="shared" si="4"/>
        <v/>
      </c>
      <c r="AD22" s="56"/>
      <c r="AE22" s="59" t="str">
        <f>IF($B22="","",COUNTIFS('01_HSo TienKC'!$B:$B,$B22,'01_HSo TienKC'!$J:$J,"Đã duyệt"))</f>
        <v/>
      </c>
      <c r="AF22" s="40"/>
      <c r="AG22" s="40"/>
      <c r="AH22" s="40"/>
      <c r="AI22" s="59" t="str">
        <f>IF($B22="","",COUNTIFS('02_KH Thang_Tuan'!$B:$B,$B22,'02_KH Thang_Tuan'!$J:$J,"Đã duyệt")&amp;"/"&amp;COUNTIFS('02_KH Thang_Tuan'!$B:$B,$B22))</f>
        <v/>
      </c>
      <c r="AJ22" s="59" t="str">
        <f>IF($B22="","",COUNTIFS('03_Phat sinh'!$C:$C,$B22,'03_Phat sinh'!$M:$M,"&lt;&gt;Đã duyệt"))</f>
        <v/>
      </c>
      <c r="AK22" s="59" t="str">
        <f>IF($B22="","",COUNTIFS('04_CU dac thu'!$C:$C,$B22,'04_CU dac thu'!$N:$N,"&lt;&gt;Đã duyệt"))</f>
        <v/>
      </c>
      <c r="AL22" s="59" t="str">
        <f>IF($B22="","",COUNTIFS('05_Bu tien do'!$B:$B,$B22,'05_Bu tien do'!$N:$N,"&lt;&gt;Đã hoàn thành"))</f>
        <v/>
      </c>
      <c r="AM22" s="60"/>
      <c r="AN22" s="60"/>
      <c r="AO22" s="55"/>
      <c r="AP22" s="60"/>
      <c r="AQ22" s="60"/>
      <c r="AR22" s="55"/>
      <c r="AS22" s="60"/>
      <c r="AT22" s="60"/>
      <c r="AU22" s="55"/>
      <c r="AV22" s="60"/>
      <c r="AW22" s="60"/>
      <c r="AX22" s="55"/>
      <c r="AY22" s="60"/>
      <c r="AZ22" s="60"/>
      <c r="BA22" s="55"/>
      <c r="BB22" s="60"/>
      <c r="BC22" s="60"/>
      <c r="BD22" s="55"/>
    </row>
    <row r="23" spans="1:56" ht="25.5" customHeight="1">
      <c r="A23" s="54" t="s">
        <v>173</v>
      </c>
      <c r="B23" s="54"/>
      <c r="C23" s="54" t="s">
        <v>142</v>
      </c>
      <c r="D23" s="54"/>
      <c r="E23" s="55" t="s">
        <v>174</v>
      </c>
      <c r="F23" s="54"/>
      <c r="G23" s="56"/>
      <c r="H23" s="56"/>
      <c r="I23" s="57"/>
      <c r="J23" s="56"/>
      <c r="K23" s="54"/>
      <c r="L23" s="54"/>
      <c r="M23" s="54"/>
      <c r="N23" s="56"/>
      <c r="O23" s="54"/>
      <c r="P23" s="56"/>
      <c r="Q23" s="54"/>
      <c r="R23" s="56"/>
      <c r="S23" s="54"/>
      <c r="T23" s="57"/>
      <c r="U23" s="58" t="str">
        <f t="shared" si="0"/>
        <v/>
      </c>
      <c r="V23" s="56"/>
      <c r="W23" s="54"/>
      <c r="X23" s="56"/>
      <c r="Y23" s="54"/>
      <c r="Z23" s="59" t="str">
        <f t="shared" si="1"/>
        <v/>
      </c>
      <c r="AA23" s="59" t="str">
        <f t="shared" si="2"/>
        <v/>
      </c>
      <c r="AB23" s="59" t="str">
        <f t="shared" si="3"/>
        <v/>
      </c>
      <c r="AC23" s="59" t="str">
        <f t="shared" si="4"/>
        <v/>
      </c>
      <c r="AD23" s="56"/>
      <c r="AE23" s="59" t="str">
        <f>IF($B23="","",COUNTIFS('01_HSo TienKC'!$B:$B,$B23,'01_HSo TienKC'!$J:$J,"Đã duyệt"))</f>
        <v/>
      </c>
      <c r="AF23" s="40"/>
      <c r="AG23" s="40"/>
      <c r="AH23" s="40"/>
      <c r="AI23" s="59" t="str">
        <f>IF($B23="","",COUNTIFS('02_KH Thang_Tuan'!$B:$B,$B23,'02_KH Thang_Tuan'!$J:$J,"Đã duyệt")&amp;"/"&amp;COUNTIFS('02_KH Thang_Tuan'!$B:$B,$B23))</f>
        <v/>
      </c>
      <c r="AJ23" s="59" t="str">
        <f>IF($B23="","",COUNTIFS('03_Phat sinh'!$C:$C,$B23,'03_Phat sinh'!$M:$M,"&lt;&gt;Đã duyệt"))</f>
        <v/>
      </c>
      <c r="AK23" s="59" t="str">
        <f>IF($B23="","",COUNTIFS('04_CU dac thu'!$C:$C,$B23,'04_CU dac thu'!$N:$N,"&lt;&gt;Đã duyệt"))</f>
        <v/>
      </c>
      <c r="AL23" s="59" t="str">
        <f>IF($B23="","",COUNTIFS('05_Bu tien do'!$B:$B,$B23,'05_Bu tien do'!$N:$N,"&lt;&gt;Đã hoàn thành"))</f>
        <v/>
      </c>
      <c r="AM23" s="60"/>
      <c r="AN23" s="60"/>
      <c r="AO23" s="55"/>
      <c r="AP23" s="60"/>
      <c r="AQ23" s="60"/>
      <c r="AR23" s="55"/>
      <c r="AS23" s="60"/>
      <c r="AT23" s="60"/>
      <c r="AU23" s="55"/>
      <c r="AV23" s="60"/>
      <c r="AW23" s="60"/>
      <c r="AX23" s="55"/>
      <c r="AY23" s="60"/>
      <c r="AZ23" s="60"/>
      <c r="BA23" s="55"/>
      <c r="BB23" s="60"/>
      <c r="BC23" s="60"/>
      <c r="BD23" s="55"/>
    </row>
    <row r="24" spans="1:56" ht="25.5" customHeight="1">
      <c r="A24" s="54" t="s">
        <v>175</v>
      </c>
      <c r="B24" s="54"/>
      <c r="C24" s="54" t="s">
        <v>142</v>
      </c>
      <c r="D24" s="54"/>
      <c r="E24" s="55" t="s">
        <v>176</v>
      </c>
      <c r="F24" s="54"/>
      <c r="G24" s="56"/>
      <c r="H24" s="56"/>
      <c r="I24" s="57"/>
      <c r="J24" s="56"/>
      <c r="K24" s="54"/>
      <c r="L24" s="54"/>
      <c r="M24" s="54"/>
      <c r="N24" s="56"/>
      <c r="O24" s="54"/>
      <c r="P24" s="56"/>
      <c r="Q24" s="54"/>
      <c r="R24" s="56"/>
      <c r="S24" s="54"/>
      <c r="T24" s="57"/>
      <c r="U24" s="58" t="str">
        <f t="shared" si="0"/>
        <v/>
      </c>
      <c r="V24" s="56"/>
      <c r="W24" s="54"/>
      <c r="X24" s="56"/>
      <c r="Y24" s="54"/>
      <c r="Z24" s="59" t="str">
        <f t="shared" si="1"/>
        <v/>
      </c>
      <c r="AA24" s="59" t="str">
        <f t="shared" si="2"/>
        <v/>
      </c>
      <c r="AB24" s="59" t="str">
        <f t="shared" si="3"/>
        <v/>
      </c>
      <c r="AC24" s="59" t="str">
        <f t="shared" si="4"/>
        <v/>
      </c>
      <c r="AD24" s="56"/>
      <c r="AE24" s="59" t="str">
        <f>IF($B24="","",COUNTIFS('01_HSo TienKC'!$B:$B,$B24,'01_HSo TienKC'!$J:$J,"Đã duyệt"))</f>
        <v/>
      </c>
      <c r="AF24" s="40"/>
      <c r="AG24" s="40"/>
      <c r="AH24" s="40"/>
      <c r="AI24" s="59" t="str">
        <f>IF($B24="","",COUNTIFS('02_KH Thang_Tuan'!$B:$B,$B24,'02_KH Thang_Tuan'!$J:$J,"Đã duyệt")&amp;"/"&amp;COUNTIFS('02_KH Thang_Tuan'!$B:$B,$B24))</f>
        <v/>
      </c>
      <c r="AJ24" s="59" t="str">
        <f>IF($B24="","",COUNTIFS('03_Phat sinh'!$C:$C,$B24,'03_Phat sinh'!$M:$M,"&lt;&gt;Đã duyệt"))</f>
        <v/>
      </c>
      <c r="AK24" s="59" t="str">
        <f>IF($B24="","",COUNTIFS('04_CU dac thu'!$C:$C,$B24,'04_CU dac thu'!$N:$N,"&lt;&gt;Đã duyệt"))</f>
        <v/>
      </c>
      <c r="AL24" s="59" t="str">
        <f>IF($B24="","",COUNTIFS('05_Bu tien do'!$B:$B,$B24,'05_Bu tien do'!$N:$N,"&lt;&gt;Đã hoàn thành"))</f>
        <v/>
      </c>
      <c r="AM24" s="60"/>
      <c r="AN24" s="60"/>
      <c r="AO24" s="55"/>
      <c r="AP24" s="60"/>
      <c r="AQ24" s="60"/>
      <c r="AR24" s="55"/>
      <c r="AS24" s="60"/>
      <c r="AT24" s="60"/>
      <c r="AU24" s="55"/>
      <c r="AV24" s="60"/>
      <c r="AW24" s="60"/>
      <c r="AX24" s="55"/>
      <c r="AY24" s="60"/>
      <c r="AZ24" s="60"/>
      <c r="BA24" s="55"/>
      <c r="BB24" s="60"/>
      <c r="BC24" s="60"/>
      <c r="BD24" s="55"/>
    </row>
    <row r="25" spans="1:56" ht="25.5" customHeight="1">
      <c r="A25" s="54" t="s">
        <v>177</v>
      </c>
      <c r="B25" s="54"/>
      <c r="C25" s="54" t="s">
        <v>142</v>
      </c>
      <c r="D25" s="54"/>
      <c r="E25" s="55" t="s">
        <v>178</v>
      </c>
      <c r="F25" s="54"/>
      <c r="G25" s="56"/>
      <c r="H25" s="56"/>
      <c r="I25" s="57"/>
      <c r="J25" s="56"/>
      <c r="K25" s="54"/>
      <c r="L25" s="54"/>
      <c r="M25" s="54"/>
      <c r="N25" s="56"/>
      <c r="O25" s="54"/>
      <c r="P25" s="56"/>
      <c r="Q25" s="54"/>
      <c r="R25" s="56"/>
      <c r="S25" s="54"/>
      <c r="T25" s="57"/>
      <c r="U25" s="58" t="str">
        <f t="shared" si="0"/>
        <v/>
      </c>
      <c r="V25" s="56"/>
      <c r="W25" s="54"/>
      <c r="X25" s="56"/>
      <c r="Y25" s="54"/>
      <c r="Z25" s="59" t="str">
        <f t="shared" si="1"/>
        <v/>
      </c>
      <c r="AA25" s="59" t="str">
        <f t="shared" si="2"/>
        <v/>
      </c>
      <c r="AB25" s="59" t="str">
        <f t="shared" si="3"/>
        <v/>
      </c>
      <c r="AC25" s="59" t="str">
        <f t="shared" si="4"/>
        <v/>
      </c>
      <c r="AD25" s="56"/>
      <c r="AE25" s="59" t="str">
        <f>IF($B25="","",COUNTIFS('01_HSo TienKC'!$B:$B,$B25,'01_HSo TienKC'!$J:$J,"Đã duyệt"))</f>
        <v/>
      </c>
      <c r="AF25" s="40"/>
      <c r="AG25" s="40"/>
      <c r="AH25" s="40"/>
      <c r="AI25" s="59" t="str">
        <f>IF($B25="","",COUNTIFS('02_KH Thang_Tuan'!$B:$B,$B25,'02_KH Thang_Tuan'!$J:$J,"Đã duyệt")&amp;"/"&amp;COUNTIFS('02_KH Thang_Tuan'!$B:$B,$B25))</f>
        <v/>
      </c>
      <c r="AJ25" s="59" t="str">
        <f>IF($B25="","",COUNTIFS('03_Phat sinh'!$C:$C,$B25,'03_Phat sinh'!$M:$M,"&lt;&gt;Đã duyệt"))</f>
        <v/>
      </c>
      <c r="AK25" s="59" t="str">
        <f>IF($B25="","",COUNTIFS('04_CU dac thu'!$C:$C,$B25,'04_CU dac thu'!$N:$N,"&lt;&gt;Đã duyệt"))</f>
        <v/>
      </c>
      <c r="AL25" s="59" t="str">
        <f>IF($B25="","",COUNTIFS('05_Bu tien do'!$B:$B,$B25,'05_Bu tien do'!$N:$N,"&lt;&gt;Đã hoàn thành"))</f>
        <v/>
      </c>
      <c r="AM25" s="60"/>
      <c r="AN25" s="60"/>
      <c r="AO25" s="55"/>
      <c r="AP25" s="60"/>
      <c r="AQ25" s="60"/>
      <c r="AR25" s="55"/>
      <c r="AS25" s="60"/>
      <c r="AT25" s="60"/>
      <c r="AU25" s="55"/>
      <c r="AV25" s="60"/>
      <c r="AW25" s="60"/>
      <c r="AX25" s="55"/>
      <c r="AY25" s="60"/>
      <c r="AZ25" s="60"/>
      <c r="BA25" s="55"/>
      <c r="BB25" s="60"/>
      <c r="BC25" s="60"/>
      <c r="BD25" s="55"/>
    </row>
    <row r="26" spans="1:56" ht="25.5" customHeight="1">
      <c r="A26" s="54" t="s">
        <v>179</v>
      </c>
      <c r="B26" s="54"/>
      <c r="C26" s="54" t="s">
        <v>142</v>
      </c>
      <c r="D26" s="54"/>
      <c r="E26" s="55" t="s">
        <v>180</v>
      </c>
      <c r="F26" s="54"/>
      <c r="G26" s="56"/>
      <c r="H26" s="56"/>
      <c r="I26" s="57"/>
      <c r="J26" s="56"/>
      <c r="K26" s="54"/>
      <c r="L26" s="54"/>
      <c r="M26" s="54"/>
      <c r="N26" s="56"/>
      <c r="O26" s="54"/>
      <c r="P26" s="56"/>
      <c r="Q26" s="54"/>
      <c r="R26" s="56"/>
      <c r="S26" s="54"/>
      <c r="T26" s="57"/>
      <c r="U26" s="58" t="str">
        <f t="shared" si="0"/>
        <v/>
      </c>
      <c r="V26" s="56"/>
      <c r="W26" s="54"/>
      <c r="X26" s="56"/>
      <c r="Y26" s="54"/>
      <c r="Z26" s="59" t="str">
        <f t="shared" si="1"/>
        <v/>
      </c>
      <c r="AA26" s="59" t="str">
        <f t="shared" si="2"/>
        <v/>
      </c>
      <c r="AB26" s="59" t="str">
        <f t="shared" si="3"/>
        <v/>
      </c>
      <c r="AC26" s="59" t="str">
        <f t="shared" si="4"/>
        <v/>
      </c>
      <c r="AD26" s="56"/>
      <c r="AE26" s="59" t="str">
        <f>IF($B26="","",COUNTIFS('01_HSo TienKC'!$B:$B,$B26,'01_HSo TienKC'!$J:$J,"Đã duyệt"))</f>
        <v/>
      </c>
      <c r="AF26" s="40"/>
      <c r="AG26" s="40"/>
      <c r="AH26" s="40"/>
      <c r="AI26" s="59" t="str">
        <f>IF($B26="","",COUNTIFS('02_KH Thang_Tuan'!$B:$B,$B26,'02_KH Thang_Tuan'!$J:$J,"Đã duyệt")&amp;"/"&amp;COUNTIFS('02_KH Thang_Tuan'!$B:$B,$B26))</f>
        <v/>
      </c>
      <c r="AJ26" s="59" t="str">
        <f>IF($B26="","",COUNTIFS('03_Phat sinh'!$C:$C,$B26,'03_Phat sinh'!$M:$M,"&lt;&gt;Đã duyệt"))</f>
        <v/>
      </c>
      <c r="AK26" s="59" t="str">
        <f>IF($B26="","",COUNTIFS('04_CU dac thu'!$C:$C,$B26,'04_CU dac thu'!$N:$N,"&lt;&gt;Đã duyệt"))</f>
        <v/>
      </c>
      <c r="AL26" s="59" t="str">
        <f>IF($B26="","",COUNTIFS('05_Bu tien do'!$B:$B,$B26,'05_Bu tien do'!$N:$N,"&lt;&gt;Đã hoàn thành"))</f>
        <v/>
      </c>
      <c r="AM26" s="60"/>
      <c r="AN26" s="60"/>
      <c r="AO26" s="55"/>
      <c r="AP26" s="60"/>
      <c r="AQ26" s="60"/>
      <c r="AR26" s="55"/>
      <c r="AS26" s="60"/>
      <c r="AT26" s="60"/>
      <c r="AU26" s="55"/>
      <c r="AV26" s="60"/>
      <c r="AW26" s="60"/>
      <c r="AX26" s="55"/>
      <c r="AY26" s="60"/>
      <c r="AZ26" s="60"/>
      <c r="BA26" s="55"/>
      <c r="BB26" s="60"/>
      <c r="BC26" s="60"/>
      <c r="BD26" s="55"/>
    </row>
    <row r="27" spans="1:56" ht="25.5" customHeight="1">
      <c r="A27" s="54" t="s">
        <v>181</v>
      </c>
      <c r="B27" s="54"/>
      <c r="C27" s="54" t="s">
        <v>142</v>
      </c>
      <c r="D27" s="54"/>
      <c r="E27" s="55" t="s">
        <v>182</v>
      </c>
      <c r="F27" s="54"/>
      <c r="G27" s="56"/>
      <c r="H27" s="56"/>
      <c r="I27" s="57"/>
      <c r="J27" s="56"/>
      <c r="K27" s="54"/>
      <c r="L27" s="54"/>
      <c r="M27" s="54"/>
      <c r="N27" s="56"/>
      <c r="O27" s="54"/>
      <c r="P27" s="56"/>
      <c r="Q27" s="54"/>
      <c r="R27" s="56"/>
      <c r="S27" s="54"/>
      <c r="T27" s="57"/>
      <c r="U27" s="58" t="str">
        <f t="shared" si="0"/>
        <v/>
      </c>
      <c r="V27" s="56"/>
      <c r="W27" s="54"/>
      <c r="X27" s="56"/>
      <c r="Y27" s="54"/>
      <c r="Z27" s="59" t="str">
        <f t="shared" si="1"/>
        <v/>
      </c>
      <c r="AA27" s="59" t="str">
        <f t="shared" si="2"/>
        <v/>
      </c>
      <c r="AB27" s="59" t="str">
        <f t="shared" si="3"/>
        <v/>
      </c>
      <c r="AC27" s="59" t="str">
        <f t="shared" si="4"/>
        <v/>
      </c>
      <c r="AD27" s="56"/>
      <c r="AE27" s="59" t="str">
        <f>IF($B27="","",COUNTIFS('01_HSo TienKC'!$B:$B,$B27,'01_HSo TienKC'!$J:$J,"Đã duyệt"))</f>
        <v/>
      </c>
      <c r="AF27" s="40"/>
      <c r="AG27" s="40"/>
      <c r="AH27" s="40"/>
      <c r="AI27" s="59" t="str">
        <f>IF($B27="","",COUNTIFS('02_KH Thang_Tuan'!$B:$B,$B27,'02_KH Thang_Tuan'!$J:$J,"Đã duyệt")&amp;"/"&amp;COUNTIFS('02_KH Thang_Tuan'!$B:$B,$B27))</f>
        <v/>
      </c>
      <c r="AJ27" s="59" t="str">
        <f>IF($B27="","",COUNTIFS('03_Phat sinh'!$C:$C,$B27,'03_Phat sinh'!$M:$M,"&lt;&gt;Đã duyệt"))</f>
        <v/>
      </c>
      <c r="AK27" s="59" t="str">
        <f>IF($B27="","",COUNTIFS('04_CU dac thu'!$C:$C,$B27,'04_CU dac thu'!$N:$N,"&lt;&gt;Đã duyệt"))</f>
        <v/>
      </c>
      <c r="AL27" s="59" t="str">
        <f>IF($B27="","",COUNTIFS('05_Bu tien do'!$B:$B,$B27,'05_Bu tien do'!$N:$N,"&lt;&gt;Đã hoàn thành"))</f>
        <v/>
      </c>
      <c r="AM27" s="60"/>
      <c r="AN27" s="60"/>
      <c r="AO27" s="55"/>
      <c r="AP27" s="60"/>
      <c r="AQ27" s="60"/>
      <c r="AR27" s="55"/>
      <c r="AS27" s="60"/>
      <c r="AT27" s="60"/>
      <c r="AU27" s="55"/>
      <c r="AV27" s="60"/>
      <c r="AW27" s="60"/>
      <c r="AX27" s="55"/>
      <c r="AY27" s="60"/>
      <c r="AZ27" s="60"/>
      <c r="BA27" s="55"/>
      <c r="BB27" s="60"/>
      <c r="BC27" s="60"/>
      <c r="BD27" s="55"/>
    </row>
    <row r="28" spans="1:56" ht="25.5" customHeight="1">
      <c r="A28" s="54" t="s">
        <v>183</v>
      </c>
      <c r="B28" s="54"/>
      <c r="C28" s="54" t="s">
        <v>142</v>
      </c>
      <c r="D28" s="54"/>
      <c r="E28" s="55" t="s">
        <v>184</v>
      </c>
      <c r="F28" s="54"/>
      <c r="G28" s="56"/>
      <c r="H28" s="56"/>
      <c r="I28" s="57"/>
      <c r="J28" s="56"/>
      <c r="K28" s="54"/>
      <c r="L28" s="54"/>
      <c r="M28" s="54"/>
      <c r="N28" s="56"/>
      <c r="O28" s="54"/>
      <c r="P28" s="56"/>
      <c r="Q28" s="54"/>
      <c r="R28" s="56"/>
      <c r="S28" s="54"/>
      <c r="T28" s="57"/>
      <c r="U28" s="58" t="str">
        <f t="shared" si="0"/>
        <v/>
      </c>
      <c r="V28" s="56"/>
      <c r="W28" s="54"/>
      <c r="X28" s="56"/>
      <c r="Y28" s="54"/>
      <c r="Z28" s="59" t="str">
        <f t="shared" si="1"/>
        <v/>
      </c>
      <c r="AA28" s="59" t="str">
        <f t="shared" si="2"/>
        <v/>
      </c>
      <c r="AB28" s="59" t="str">
        <f t="shared" si="3"/>
        <v/>
      </c>
      <c r="AC28" s="59" t="str">
        <f t="shared" si="4"/>
        <v/>
      </c>
      <c r="AD28" s="56"/>
      <c r="AE28" s="59" t="str">
        <f>IF($B28="","",COUNTIFS('01_HSo TienKC'!$B:$B,$B28,'01_HSo TienKC'!$J:$J,"Đã duyệt"))</f>
        <v/>
      </c>
      <c r="AF28" s="40"/>
      <c r="AG28" s="40"/>
      <c r="AH28" s="40"/>
      <c r="AI28" s="59" t="str">
        <f>IF($B28="","",COUNTIFS('02_KH Thang_Tuan'!$B:$B,$B28,'02_KH Thang_Tuan'!$J:$J,"Đã duyệt")&amp;"/"&amp;COUNTIFS('02_KH Thang_Tuan'!$B:$B,$B28))</f>
        <v/>
      </c>
      <c r="AJ28" s="59" t="str">
        <f>IF($B28="","",COUNTIFS('03_Phat sinh'!$C:$C,$B28,'03_Phat sinh'!$M:$M,"&lt;&gt;Đã duyệt"))</f>
        <v/>
      </c>
      <c r="AK28" s="59" t="str">
        <f>IF($B28="","",COUNTIFS('04_CU dac thu'!$C:$C,$B28,'04_CU dac thu'!$N:$N,"&lt;&gt;Đã duyệt"))</f>
        <v/>
      </c>
      <c r="AL28" s="59" t="str">
        <f>IF($B28="","",COUNTIFS('05_Bu tien do'!$B:$B,$B28,'05_Bu tien do'!$N:$N,"&lt;&gt;Đã hoàn thành"))</f>
        <v/>
      </c>
      <c r="AM28" s="60"/>
      <c r="AN28" s="60"/>
      <c r="AO28" s="55"/>
      <c r="AP28" s="60"/>
      <c r="AQ28" s="60"/>
      <c r="AR28" s="55"/>
      <c r="AS28" s="60"/>
      <c r="AT28" s="60"/>
      <c r="AU28" s="55"/>
      <c r="AV28" s="60"/>
      <c r="AW28" s="60"/>
      <c r="AX28" s="55"/>
      <c r="AY28" s="60"/>
      <c r="AZ28" s="60"/>
      <c r="BA28" s="55"/>
      <c r="BB28" s="60"/>
      <c r="BC28" s="60"/>
      <c r="BD28" s="55"/>
    </row>
    <row r="29" spans="1:56" ht="33.75" customHeight="1">
      <c r="A29" s="54">
        <v>3</v>
      </c>
      <c r="B29" s="54" t="s">
        <v>185</v>
      </c>
      <c r="C29" s="54" t="s">
        <v>186</v>
      </c>
      <c r="D29" s="54" t="s">
        <v>187</v>
      </c>
      <c r="E29" s="55" t="s">
        <v>188</v>
      </c>
      <c r="F29" s="54" t="s">
        <v>189</v>
      </c>
      <c r="G29" s="56">
        <v>46215</v>
      </c>
      <c r="H29" s="56">
        <v>46356</v>
      </c>
      <c r="I29" s="57">
        <v>12</v>
      </c>
      <c r="J29" s="56">
        <v>46142</v>
      </c>
      <c r="K29" s="54" t="s">
        <v>190</v>
      </c>
      <c r="L29" s="54" t="s">
        <v>125</v>
      </c>
      <c r="M29" s="54" t="s">
        <v>126</v>
      </c>
      <c r="N29" s="56">
        <v>46175</v>
      </c>
      <c r="O29" s="54" t="s">
        <v>191</v>
      </c>
      <c r="P29" s="56">
        <v>46193</v>
      </c>
      <c r="Q29" s="54" t="s">
        <v>192</v>
      </c>
      <c r="R29" s="56">
        <v>46204</v>
      </c>
      <c r="S29" s="54" t="s">
        <v>193</v>
      </c>
      <c r="T29" s="57"/>
      <c r="U29" s="58" t="str">
        <f t="shared" si="0"/>
        <v/>
      </c>
      <c r="V29" s="56"/>
      <c r="W29" s="54" t="s">
        <v>194</v>
      </c>
      <c r="X29" s="56"/>
      <c r="Y29" s="54" t="s">
        <v>195</v>
      </c>
      <c r="Z29" s="59" t="str">
        <f t="shared" si="1"/>
        <v>✔</v>
      </c>
      <c r="AA29" s="59" t="str">
        <f t="shared" si="2"/>
        <v>✘</v>
      </c>
      <c r="AB29" s="59" t="str">
        <f t="shared" si="3"/>
        <v>✘</v>
      </c>
      <c r="AC29" s="59" t="str">
        <f t="shared" si="4"/>
        <v>THIẾU ĐK</v>
      </c>
      <c r="AD29" s="56"/>
      <c r="AE29" s="59">
        <f>IF($B29="","",COUNTIFS('01_HSo TienKC'!$B:$B,$B29,'01_HSo TienKC'!$J:$J,"Đã duyệt"))</f>
        <v>0</v>
      </c>
      <c r="AF29" s="38"/>
      <c r="AG29" s="38"/>
      <c r="AH29" s="38"/>
      <c r="AI29" s="59" t="str">
        <f>IF($B29="","",COUNTIFS('02_KH Thang_Tuan'!$B:$B,$B29,'02_KH Thang_Tuan'!$J:$J,"Đã duyệt")&amp;"/"&amp;COUNTIFS('02_KH Thang_Tuan'!$B:$B,$B29))</f>
        <v>0/0</v>
      </c>
      <c r="AJ29" s="59">
        <f>IF($B29="","",COUNTIFS('03_Phat sinh'!$C:$C,$B29,'03_Phat sinh'!$M:$M,"&lt;&gt;Đã duyệt"))</f>
        <v>0</v>
      </c>
      <c r="AK29" s="59">
        <f>IF($B29="","",COUNTIFS('04_CU dac thu'!$C:$C,$B29,'04_CU dac thu'!$N:$N,"&lt;&gt;Đã duyệt"))</f>
        <v>0</v>
      </c>
      <c r="AL29" s="59">
        <f>IF($B29="","",COUNTIFS('05_Bu tien do'!$B:$B,$B29,'05_Bu tien do'!$N:$N,"&lt;&gt;Đã hoàn thành"))</f>
        <v>0</v>
      </c>
      <c r="AM29" s="60"/>
      <c r="AN29" s="60"/>
      <c r="AO29" s="55"/>
      <c r="AP29" s="60"/>
      <c r="AQ29" s="60"/>
      <c r="AR29" s="55"/>
      <c r="AS29" s="60"/>
      <c r="AT29" s="60"/>
      <c r="AU29" s="55"/>
      <c r="AV29" s="60"/>
      <c r="AW29" s="60"/>
      <c r="AX29" s="55"/>
      <c r="AY29" s="60"/>
      <c r="AZ29" s="60"/>
      <c r="BA29" s="55"/>
      <c r="BB29" s="60"/>
      <c r="BC29" s="60"/>
      <c r="BD29" s="55"/>
    </row>
    <row r="30" spans="1:56">
      <c r="A30" s="54"/>
      <c r="B30" s="54"/>
      <c r="C30" s="54"/>
      <c r="D30" s="54"/>
      <c r="E30" s="54"/>
      <c r="F30" s="54"/>
      <c r="G30" s="56"/>
      <c r="H30" s="56"/>
      <c r="I30" s="57"/>
      <c r="J30" s="56"/>
      <c r="K30" s="54"/>
      <c r="L30" s="54"/>
      <c r="M30" s="54"/>
      <c r="N30" s="56"/>
      <c r="O30" s="54"/>
      <c r="P30" s="56"/>
      <c r="Q30" s="54"/>
      <c r="R30" s="56"/>
      <c r="S30" s="54"/>
      <c r="T30" s="57"/>
      <c r="U30" s="58" t="str">
        <f t="shared" si="0"/>
        <v/>
      </c>
      <c r="V30" s="56"/>
      <c r="W30" s="54"/>
      <c r="X30" s="56"/>
      <c r="Y30" s="54"/>
      <c r="Z30" s="59" t="str">
        <f t="shared" si="1"/>
        <v/>
      </c>
      <c r="AA30" s="59" t="str">
        <f t="shared" si="2"/>
        <v/>
      </c>
      <c r="AB30" s="59" t="str">
        <f t="shared" si="3"/>
        <v/>
      </c>
      <c r="AC30" s="59" t="str">
        <f t="shared" si="4"/>
        <v/>
      </c>
      <c r="AD30" s="56"/>
      <c r="AE30" s="59" t="str">
        <f>IF($B30="","",COUNTIFS('01_HSo TienKC'!$B:$B,$B30,'01_HSo TienKC'!$J:$J,"Đã duyệt"))</f>
        <v/>
      </c>
      <c r="AF30" s="38"/>
      <c r="AG30" s="38"/>
      <c r="AH30" s="38"/>
      <c r="AI30" s="59" t="str">
        <f>IF($B30="","",COUNTIFS('02_KH Thang_Tuan'!$B:$B,$B30,'02_KH Thang_Tuan'!$J:$J,"Đã duyệt")&amp;"/"&amp;COUNTIFS('02_KH Thang_Tuan'!$B:$B,$B30))</f>
        <v/>
      </c>
      <c r="AJ30" s="59" t="str">
        <f>IF($B30="","",COUNTIFS('03_Phat sinh'!$C:$C,$B30,'03_Phat sinh'!$M:$M,"&lt;&gt;Đã duyệt"))</f>
        <v/>
      </c>
      <c r="AK30" s="59" t="str">
        <f>IF($B30="","",COUNTIFS('04_CU dac thu'!$C:$C,$B30,'04_CU dac thu'!$N:$N,"&lt;&gt;Đã duyệt"))</f>
        <v/>
      </c>
      <c r="AL30" s="59" t="str">
        <f>IF($B30="","",COUNTIFS('05_Bu tien do'!$B:$B,$B30,'05_Bu tien do'!$N:$N,"&lt;&gt;Đã hoàn thành"))</f>
        <v/>
      </c>
      <c r="AM30" s="60"/>
      <c r="AN30" s="60"/>
      <c r="AO30" s="54"/>
      <c r="AP30" s="60"/>
      <c r="AQ30" s="60"/>
      <c r="AR30" s="54"/>
      <c r="AS30" s="60"/>
      <c r="AT30" s="60"/>
      <c r="AU30" s="54"/>
      <c r="AV30" s="60"/>
      <c r="AW30" s="60"/>
      <c r="AX30" s="54"/>
      <c r="AY30" s="60"/>
      <c r="AZ30" s="60"/>
      <c r="BA30" s="54"/>
      <c r="BB30" s="60"/>
      <c r="BC30" s="60"/>
      <c r="BD30" s="54"/>
    </row>
    <row r="31" spans="1:56">
      <c r="A31" s="54"/>
      <c r="B31" s="54"/>
      <c r="C31" s="54"/>
      <c r="D31" s="54"/>
      <c r="E31" s="54"/>
      <c r="F31" s="54"/>
      <c r="G31" s="56"/>
      <c r="H31" s="56"/>
      <c r="I31" s="57"/>
      <c r="J31" s="56"/>
      <c r="K31" s="54"/>
      <c r="L31" s="54"/>
      <c r="M31" s="54"/>
      <c r="N31" s="56"/>
      <c r="O31" s="54"/>
      <c r="P31" s="56"/>
      <c r="Q31" s="54"/>
      <c r="R31" s="56"/>
      <c r="S31" s="54"/>
      <c r="T31" s="57"/>
      <c r="U31" s="58" t="str">
        <f t="shared" si="0"/>
        <v/>
      </c>
      <c r="V31" s="56"/>
      <c r="W31" s="54"/>
      <c r="X31" s="56"/>
      <c r="Y31" s="54"/>
      <c r="Z31" s="59" t="str">
        <f t="shared" si="1"/>
        <v/>
      </c>
      <c r="AA31" s="59" t="str">
        <f t="shared" si="2"/>
        <v/>
      </c>
      <c r="AB31" s="59" t="str">
        <f t="shared" si="3"/>
        <v/>
      </c>
      <c r="AC31" s="59" t="str">
        <f t="shared" si="4"/>
        <v/>
      </c>
      <c r="AD31" s="56"/>
      <c r="AE31" s="59" t="str">
        <f>IF($B31="","",COUNTIFS('01_HSo TienKC'!$B:$B,$B31,'01_HSo TienKC'!$J:$J,"Đã duyệt"))</f>
        <v/>
      </c>
      <c r="AF31" s="38"/>
      <c r="AG31" s="38"/>
      <c r="AH31" s="38"/>
      <c r="AI31" s="59" t="str">
        <f>IF($B31="","",COUNTIFS('02_KH Thang_Tuan'!$B:$B,$B31,'02_KH Thang_Tuan'!$J:$J,"Đã duyệt")&amp;"/"&amp;COUNTIFS('02_KH Thang_Tuan'!$B:$B,$B31))</f>
        <v/>
      </c>
      <c r="AJ31" s="59" t="str">
        <f>IF($B31="","",COUNTIFS('03_Phat sinh'!$C:$C,$B31,'03_Phat sinh'!$M:$M,"&lt;&gt;Đã duyệt"))</f>
        <v/>
      </c>
      <c r="AK31" s="59" t="str">
        <f>IF($B31="","",COUNTIFS('04_CU dac thu'!$C:$C,$B31,'04_CU dac thu'!$N:$N,"&lt;&gt;Đã duyệt"))</f>
        <v/>
      </c>
      <c r="AL31" s="59" t="str">
        <f>IF($B31="","",COUNTIFS('05_Bu tien do'!$B:$B,$B31,'05_Bu tien do'!$N:$N,"&lt;&gt;Đã hoàn thành"))</f>
        <v/>
      </c>
      <c r="AM31" s="60"/>
      <c r="AN31" s="60"/>
      <c r="AO31" s="54"/>
      <c r="AP31" s="60"/>
      <c r="AQ31" s="60"/>
      <c r="AR31" s="54"/>
      <c r="AS31" s="60"/>
      <c r="AT31" s="60"/>
      <c r="AU31" s="54"/>
      <c r="AV31" s="60"/>
      <c r="AW31" s="60"/>
      <c r="AX31" s="54"/>
      <c r="AY31" s="60"/>
      <c r="AZ31" s="60"/>
      <c r="BA31" s="54"/>
      <c r="BB31" s="60"/>
      <c r="BC31" s="60"/>
      <c r="BD31" s="54"/>
    </row>
    <row r="32" spans="1:56">
      <c r="A32" s="54"/>
      <c r="B32" s="54"/>
      <c r="C32" s="54"/>
      <c r="D32" s="54"/>
      <c r="E32" s="54"/>
      <c r="F32" s="54"/>
      <c r="G32" s="56"/>
      <c r="H32" s="56"/>
      <c r="I32" s="57"/>
      <c r="J32" s="56"/>
      <c r="K32" s="54"/>
      <c r="L32" s="54"/>
      <c r="M32" s="54"/>
      <c r="N32" s="56"/>
      <c r="O32" s="54"/>
      <c r="P32" s="56"/>
      <c r="Q32" s="54"/>
      <c r="R32" s="56"/>
      <c r="S32" s="54"/>
      <c r="T32" s="57"/>
      <c r="U32" s="58" t="str">
        <f t="shared" si="0"/>
        <v/>
      </c>
      <c r="V32" s="56"/>
      <c r="W32" s="54"/>
      <c r="X32" s="56"/>
      <c r="Y32" s="54"/>
      <c r="Z32" s="59" t="str">
        <f t="shared" si="1"/>
        <v/>
      </c>
      <c r="AA32" s="59" t="str">
        <f t="shared" si="2"/>
        <v/>
      </c>
      <c r="AB32" s="59" t="str">
        <f t="shared" si="3"/>
        <v/>
      </c>
      <c r="AC32" s="59" t="str">
        <f t="shared" si="4"/>
        <v/>
      </c>
      <c r="AD32" s="56"/>
      <c r="AE32" s="59" t="str">
        <f>IF($B32="","",COUNTIFS('01_HSo TienKC'!$B:$B,$B32,'01_HSo TienKC'!$J:$J,"Đã duyệt"))</f>
        <v/>
      </c>
      <c r="AF32" s="38"/>
      <c r="AG32" s="38"/>
      <c r="AH32" s="38"/>
      <c r="AI32" s="59" t="str">
        <f>IF($B32="","",COUNTIFS('02_KH Thang_Tuan'!$B:$B,$B32,'02_KH Thang_Tuan'!$J:$J,"Đã duyệt")&amp;"/"&amp;COUNTIFS('02_KH Thang_Tuan'!$B:$B,$B32))</f>
        <v/>
      </c>
      <c r="AJ32" s="59" t="str">
        <f>IF($B32="","",COUNTIFS('03_Phat sinh'!$C:$C,$B32,'03_Phat sinh'!$M:$M,"&lt;&gt;Đã duyệt"))</f>
        <v/>
      </c>
      <c r="AK32" s="59" t="str">
        <f>IF($B32="","",COUNTIFS('04_CU dac thu'!$C:$C,$B32,'04_CU dac thu'!$N:$N,"&lt;&gt;Đã duyệt"))</f>
        <v/>
      </c>
      <c r="AL32" s="59" t="str">
        <f>IF($B32="","",COUNTIFS('05_Bu tien do'!$B:$B,$B32,'05_Bu tien do'!$N:$N,"&lt;&gt;Đã hoàn thành"))</f>
        <v/>
      </c>
      <c r="AM32" s="60"/>
      <c r="AN32" s="60"/>
      <c r="AO32" s="54"/>
      <c r="AP32" s="60"/>
      <c r="AQ32" s="60"/>
      <c r="AR32" s="54"/>
      <c r="AS32" s="60"/>
      <c r="AT32" s="60"/>
      <c r="AU32" s="54"/>
      <c r="AV32" s="60"/>
      <c r="AW32" s="60"/>
      <c r="AX32" s="54"/>
      <c r="AY32" s="60"/>
      <c r="AZ32" s="60"/>
      <c r="BA32" s="54"/>
      <c r="BB32" s="60"/>
      <c r="BC32" s="60"/>
      <c r="BD32" s="54"/>
    </row>
    <row r="33" spans="1:56">
      <c r="A33" s="54"/>
      <c r="B33" s="54"/>
      <c r="C33" s="54"/>
      <c r="D33" s="54"/>
      <c r="E33" s="54"/>
      <c r="F33" s="54"/>
      <c r="G33" s="56"/>
      <c r="H33" s="56"/>
      <c r="I33" s="57"/>
      <c r="J33" s="56"/>
      <c r="K33" s="54"/>
      <c r="L33" s="54"/>
      <c r="M33" s="54"/>
      <c r="N33" s="56"/>
      <c r="O33" s="54"/>
      <c r="P33" s="56"/>
      <c r="Q33" s="54"/>
      <c r="R33" s="56"/>
      <c r="S33" s="54"/>
      <c r="T33" s="57"/>
      <c r="U33" s="58" t="str">
        <f t="shared" si="0"/>
        <v/>
      </c>
      <c r="V33" s="56"/>
      <c r="W33" s="54"/>
      <c r="X33" s="56"/>
      <c r="Y33" s="54"/>
      <c r="Z33" s="59" t="str">
        <f t="shared" si="1"/>
        <v/>
      </c>
      <c r="AA33" s="59" t="str">
        <f t="shared" si="2"/>
        <v/>
      </c>
      <c r="AB33" s="59" t="str">
        <f t="shared" si="3"/>
        <v/>
      </c>
      <c r="AC33" s="59" t="str">
        <f t="shared" si="4"/>
        <v/>
      </c>
      <c r="AD33" s="56"/>
      <c r="AE33" s="59" t="str">
        <f>IF($B33="","",COUNTIFS('01_HSo TienKC'!$B:$B,$B33,'01_HSo TienKC'!$J:$J,"Đã duyệt"))</f>
        <v/>
      </c>
      <c r="AF33" s="38"/>
      <c r="AG33" s="38"/>
      <c r="AH33" s="38"/>
      <c r="AI33" s="59" t="str">
        <f>IF($B33="","",COUNTIFS('02_KH Thang_Tuan'!$B:$B,$B33,'02_KH Thang_Tuan'!$J:$J,"Đã duyệt")&amp;"/"&amp;COUNTIFS('02_KH Thang_Tuan'!$B:$B,$B33))</f>
        <v/>
      </c>
      <c r="AJ33" s="59" t="str">
        <f>IF($B33="","",COUNTIFS('03_Phat sinh'!$C:$C,$B33,'03_Phat sinh'!$M:$M,"&lt;&gt;Đã duyệt"))</f>
        <v/>
      </c>
      <c r="AK33" s="59" t="str">
        <f>IF($B33="","",COUNTIFS('04_CU dac thu'!$C:$C,$B33,'04_CU dac thu'!$N:$N,"&lt;&gt;Đã duyệt"))</f>
        <v/>
      </c>
      <c r="AL33" s="59" t="str">
        <f>IF($B33="","",COUNTIFS('05_Bu tien do'!$B:$B,$B33,'05_Bu tien do'!$N:$N,"&lt;&gt;Đã hoàn thành"))</f>
        <v/>
      </c>
      <c r="AM33" s="60"/>
      <c r="AN33" s="60"/>
      <c r="AO33" s="54"/>
      <c r="AP33" s="60"/>
      <c r="AQ33" s="60"/>
      <c r="AR33" s="54"/>
      <c r="AS33" s="60"/>
      <c r="AT33" s="60"/>
      <c r="AU33" s="54"/>
      <c r="AV33" s="60"/>
      <c r="AW33" s="60"/>
      <c r="AX33" s="54"/>
      <c r="AY33" s="60"/>
      <c r="AZ33" s="60"/>
      <c r="BA33" s="54"/>
      <c r="BB33" s="60"/>
      <c r="BC33" s="60"/>
      <c r="BD33" s="54"/>
    </row>
    <row r="34" spans="1:56">
      <c r="A34" s="54"/>
      <c r="B34" s="54"/>
      <c r="C34" s="54"/>
      <c r="D34" s="54"/>
      <c r="E34" s="54"/>
      <c r="F34" s="54"/>
      <c r="G34" s="56"/>
      <c r="H34" s="56"/>
      <c r="I34" s="57"/>
      <c r="J34" s="56"/>
      <c r="K34" s="54"/>
      <c r="L34" s="54"/>
      <c r="M34" s="54"/>
      <c r="N34" s="56"/>
      <c r="O34" s="54"/>
      <c r="P34" s="56"/>
      <c r="Q34" s="54"/>
      <c r="R34" s="56"/>
      <c r="S34" s="54"/>
      <c r="T34" s="57"/>
      <c r="U34" s="58" t="str">
        <f t="shared" si="0"/>
        <v/>
      </c>
      <c r="V34" s="56"/>
      <c r="W34" s="54"/>
      <c r="X34" s="56"/>
      <c r="Y34" s="54"/>
      <c r="Z34" s="59" t="str">
        <f t="shared" si="1"/>
        <v/>
      </c>
      <c r="AA34" s="59" t="str">
        <f t="shared" si="2"/>
        <v/>
      </c>
      <c r="AB34" s="59" t="str">
        <f t="shared" si="3"/>
        <v/>
      </c>
      <c r="AC34" s="59" t="str">
        <f t="shared" si="4"/>
        <v/>
      </c>
      <c r="AD34" s="56"/>
      <c r="AE34" s="59" t="str">
        <f>IF($B34="","",COUNTIFS('01_HSo TienKC'!$B:$B,$B34,'01_HSo TienKC'!$J:$J,"Đã duyệt"))</f>
        <v/>
      </c>
      <c r="AF34" s="38"/>
      <c r="AG34" s="38"/>
      <c r="AH34" s="38"/>
      <c r="AI34" s="59" t="str">
        <f>IF($B34="","",COUNTIFS('02_KH Thang_Tuan'!$B:$B,$B34,'02_KH Thang_Tuan'!$J:$J,"Đã duyệt")&amp;"/"&amp;COUNTIFS('02_KH Thang_Tuan'!$B:$B,$B34))</f>
        <v/>
      </c>
      <c r="AJ34" s="59" t="str">
        <f>IF($B34="","",COUNTIFS('03_Phat sinh'!$C:$C,$B34,'03_Phat sinh'!$M:$M,"&lt;&gt;Đã duyệt"))</f>
        <v/>
      </c>
      <c r="AK34" s="59" t="str">
        <f>IF($B34="","",COUNTIFS('04_CU dac thu'!$C:$C,$B34,'04_CU dac thu'!$N:$N,"&lt;&gt;Đã duyệt"))</f>
        <v/>
      </c>
      <c r="AL34" s="59" t="str">
        <f>IF($B34="","",COUNTIFS('05_Bu tien do'!$B:$B,$B34,'05_Bu tien do'!$N:$N,"&lt;&gt;Đã hoàn thành"))</f>
        <v/>
      </c>
      <c r="AM34" s="60"/>
      <c r="AN34" s="60"/>
      <c r="AO34" s="54"/>
      <c r="AP34" s="60"/>
      <c r="AQ34" s="60"/>
      <c r="AR34" s="54"/>
      <c r="AS34" s="60"/>
      <c r="AT34" s="60"/>
      <c r="AU34" s="54"/>
      <c r="AV34" s="60"/>
      <c r="AW34" s="60"/>
      <c r="AX34" s="54"/>
      <c r="AY34" s="60"/>
      <c r="AZ34" s="60"/>
      <c r="BA34" s="54"/>
      <c r="BB34" s="60"/>
      <c r="BC34" s="60"/>
      <c r="BD34" s="54"/>
    </row>
    <row r="35" spans="1:56">
      <c r="A35" s="54"/>
      <c r="B35" s="54"/>
      <c r="C35" s="54"/>
      <c r="D35" s="54"/>
      <c r="E35" s="54"/>
      <c r="F35" s="54"/>
      <c r="G35" s="56"/>
      <c r="H35" s="56"/>
      <c r="I35" s="57"/>
      <c r="J35" s="56"/>
      <c r="K35" s="54"/>
      <c r="L35" s="54"/>
      <c r="M35" s="54"/>
      <c r="N35" s="56"/>
      <c r="O35" s="54"/>
      <c r="P35" s="56"/>
      <c r="Q35" s="54"/>
      <c r="R35" s="56"/>
      <c r="S35" s="54"/>
      <c r="T35" s="57"/>
      <c r="U35" s="58" t="str">
        <f t="shared" si="0"/>
        <v/>
      </c>
      <c r="V35" s="56"/>
      <c r="W35" s="54"/>
      <c r="X35" s="56"/>
      <c r="Y35" s="54"/>
      <c r="Z35" s="59" t="str">
        <f t="shared" si="1"/>
        <v/>
      </c>
      <c r="AA35" s="59" t="str">
        <f t="shared" si="2"/>
        <v/>
      </c>
      <c r="AB35" s="59" t="str">
        <f t="shared" si="3"/>
        <v/>
      </c>
      <c r="AC35" s="59" t="str">
        <f t="shared" si="4"/>
        <v/>
      </c>
      <c r="AD35" s="56"/>
      <c r="AE35" s="59" t="str">
        <f>IF($B35="","",COUNTIFS('01_HSo TienKC'!$B:$B,$B35,'01_HSo TienKC'!$J:$J,"Đã duyệt"))</f>
        <v/>
      </c>
      <c r="AF35" s="38"/>
      <c r="AG35" s="38"/>
      <c r="AH35" s="38"/>
      <c r="AI35" s="59" t="str">
        <f>IF($B35="","",COUNTIFS('02_KH Thang_Tuan'!$B:$B,$B35,'02_KH Thang_Tuan'!$J:$J,"Đã duyệt")&amp;"/"&amp;COUNTIFS('02_KH Thang_Tuan'!$B:$B,$B35))</f>
        <v/>
      </c>
      <c r="AJ35" s="59" t="str">
        <f>IF($B35="","",COUNTIFS('03_Phat sinh'!$C:$C,$B35,'03_Phat sinh'!$M:$M,"&lt;&gt;Đã duyệt"))</f>
        <v/>
      </c>
      <c r="AK35" s="59" t="str">
        <f>IF($B35="","",COUNTIFS('04_CU dac thu'!$C:$C,$B35,'04_CU dac thu'!$N:$N,"&lt;&gt;Đã duyệt"))</f>
        <v/>
      </c>
      <c r="AL35" s="59" t="str">
        <f>IF($B35="","",COUNTIFS('05_Bu tien do'!$B:$B,$B35,'05_Bu tien do'!$N:$N,"&lt;&gt;Đã hoàn thành"))</f>
        <v/>
      </c>
      <c r="AM35" s="60"/>
      <c r="AN35" s="60"/>
      <c r="AO35" s="54"/>
      <c r="AP35" s="60"/>
      <c r="AQ35" s="60"/>
      <c r="AR35" s="54"/>
      <c r="AS35" s="60"/>
      <c r="AT35" s="60"/>
      <c r="AU35" s="54"/>
      <c r="AV35" s="60"/>
      <c r="AW35" s="60"/>
      <c r="AX35" s="54"/>
      <c r="AY35" s="60"/>
      <c r="AZ35" s="60"/>
      <c r="BA35" s="54"/>
      <c r="BB35" s="60"/>
      <c r="BC35" s="60"/>
      <c r="BD35" s="54"/>
    </row>
    <row r="36" spans="1:56">
      <c r="A36" s="54"/>
      <c r="B36" s="54"/>
      <c r="C36" s="54"/>
      <c r="D36" s="54"/>
      <c r="E36" s="54"/>
      <c r="F36" s="54"/>
      <c r="G36" s="56"/>
      <c r="H36" s="56"/>
      <c r="I36" s="57"/>
      <c r="J36" s="56"/>
      <c r="K36" s="54"/>
      <c r="L36" s="54"/>
      <c r="M36" s="54"/>
      <c r="N36" s="56"/>
      <c r="O36" s="54"/>
      <c r="P36" s="56"/>
      <c r="Q36" s="54"/>
      <c r="R36" s="56"/>
      <c r="S36" s="54"/>
      <c r="T36" s="57"/>
      <c r="U36" s="58" t="str">
        <f t="shared" si="0"/>
        <v/>
      </c>
      <c r="V36" s="56"/>
      <c r="W36" s="54"/>
      <c r="X36" s="56"/>
      <c r="Y36" s="54"/>
      <c r="Z36" s="59" t="str">
        <f t="shared" si="1"/>
        <v/>
      </c>
      <c r="AA36" s="59" t="str">
        <f t="shared" si="2"/>
        <v/>
      </c>
      <c r="AB36" s="59" t="str">
        <f t="shared" si="3"/>
        <v/>
      </c>
      <c r="AC36" s="59" t="str">
        <f t="shared" si="4"/>
        <v/>
      </c>
      <c r="AD36" s="56"/>
      <c r="AE36" s="59" t="str">
        <f>IF($B36="","",COUNTIFS('01_HSo TienKC'!$B:$B,$B36,'01_HSo TienKC'!$J:$J,"Đã duyệt"))</f>
        <v/>
      </c>
      <c r="AF36" s="38"/>
      <c r="AG36" s="38"/>
      <c r="AH36" s="38"/>
      <c r="AI36" s="59" t="str">
        <f>IF($B36="","",COUNTIFS('02_KH Thang_Tuan'!$B:$B,$B36,'02_KH Thang_Tuan'!$J:$J,"Đã duyệt")&amp;"/"&amp;COUNTIFS('02_KH Thang_Tuan'!$B:$B,$B36))</f>
        <v/>
      </c>
      <c r="AJ36" s="59" t="str">
        <f>IF($B36="","",COUNTIFS('03_Phat sinh'!$C:$C,$B36,'03_Phat sinh'!$M:$M,"&lt;&gt;Đã duyệt"))</f>
        <v/>
      </c>
      <c r="AK36" s="59" t="str">
        <f>IF($B36="","",COUNTIFS('04_CU dac thu'!$C:$C,$B36,'04_CU dac thu'!$N:$N,"&lt;&gt;Đã duyệt"))</f>
        <v/>
      </c>
      <c r="AL36" s="59" t="str">
        <f>IF($B36="","",COUNTIFS('05_Bu tien do'!$B:$B,$B36,'05_Bu tien do'!$N:$N,"&lt;&gt;Đã hoàn thành"))</f>
        <v/>
      </c>
      <c r="AM36" s="60"/>
      <c r="AN36" s="60"/>
      <c r="AO36" s="54"/>
      <c r="AP36" s="60"/>
      <c r="AQ36" s="60"/>
      <c r="AR36" s="54"/>
      <c r="AS36" s="60"/>
      <c r="AT36" s="60"/>
      <c r="AU36" s="54"/>
      <c r="AV36" s="60"/>
      <c r="AW36" s="60"/>
      <c r="AX36" s="54"/>
      <c r="AY36" s="60"/>
      <c r="AZ36" s="60"/>
      <c r="BA36" s="54"/>
      <c r="BB36" s="60"/>
      <c r="BC36" s="60"/>
      <c r="BD36" s="54"/>
    </row>
    <row r="37" spans="1:56">
      <c r="A37" s="54"/>
      <c r="B37" s="54"/>
      <c r="C37" s="54"/>
      <c r="D37" s="54"/>
      <c r="E37" s="54"/>
      <c r="F37" s="54"/>
      <c r="G37" s="56"/>
      <c r="H37" s="56"/>
      <c r="I37" s="57"/>
      <c r="J37" s="56"/>
      <c r="K37" s="54"/>
      <c r="L37" s="54"/>
      <c r="M37" s="54"/>
      <c r="N37" s="56"/>
      <c r="O37" s="54"/>
      <c r="P37" s="56"/>
      <c r="Q37" s="54"/>
      <c r="R37" s="56"/>
      <c r="S37" s="54"/>
      <c r="T37" s="57"/>
      <c r="U37" s="58" t="str">
        <f t="shared" si="0"/>
        <v/>
      </c>
      <c r="V37" s="56"/>
      <c r="W37" s="54"/>
      <c r="X37" s="56"/>
      <c r="Y37" s="54"/>
      <c r="Z37" s="59" t="str">
        <f t="shared" si="1"/>
        <v/>
      </c>
      <c r="AA37" s="59" t="str">
        <f t="shared" si="2"/>
        <v/>
      </c>
      <c r="AB37" s="59" t="str">
        <f t="shared" si="3"/>
        <v/>
      </c>
      <c r="AC37" s="59" t="str">
        <f t="shared" si="4"/>
        <v/>
      </c>
      <c r="AD37" s="56"/>
      <c r="AE37" s="59" t="str">
        <f>IF($B37="","",COUNTIFS('01_HSo TienKC'!$B:$B,$B37,'01_HSo TienKC'!$J:$J,"Đã duyệt"))</f>
        <v/>
      </c>
      <c r="AF37" s="38"/>
      <c r="AG37" s="38"/>
      <c r="AH37" s="38"/>
      <c r="AI37" s="59" t="str">
        <f>IF($B37="","",COUNTIFS('02_KH Thang_Tuan'!$B:$B,$B37,'02_KH Thang_Tuan'!$J:$J,"Đã duyệt")&amp;"/"&amp;COUNTIFS('02_KH Thang_Tuan'!$B:$B,$B37))</f>
        <v/>
      </c>
      <c r="AJ37" s="59" t="str">
        <f>IF($B37="","",COUNTIFS('03_Phat sinh'!$C:$C,$B37,'03_Phat sinh'!$M:$M,"&lt;&gt;Đã duyệt"))</f>
        <v/>
      </c>
      <c r="AK37" s="59" t="str">
        <f>IF($B37="","",COUNTIFS('04_CU dac thu'!$C:$C,$B37,'04_CU dac thu'!$N:$N,"&lt;&gt;Đã duyệt"))</f>
        <v/>
      </c>
      <c r="AL37" s="59" t="str">
        <f>IF($B37="","",COUNTIFS('05_Bu tien do'!$B:$B,$B37,'05_Bu tien do'!$N:$N,"&lt;&gt;Đã hoàn thành"))</f>
        <v/>
      </c>
      <c r="AM37" s="60"/>
      <c r="AN37" s="60"/>
      <c r="AO37" s="54"/>
      <c r="AP37" s="60"/>
      <c r="AQ37" s="60"/>
      <c r="AR37" s="54"/>
      <c r="AS37" s="60"/>
      <c r="AT37" s="60"/>
      <c r="AU37" s="54"/>
      <c r="AV37" s="60"/>
      <c r="AW37" s="60"/>
      <c r="AX37" s="54"/>
      <c r="AY37" s="60"/>
      <c r="AZ37" s="60"/>
      <c r="BA37" s="54"/>
      <c r="BB37" s="60"/>
      <c r="BC37" s="60"/>
      <c r="BD37" s="54"/>
    </row>
    <row r="38" spans="1:56">
      <c r="A38" s="54"/>
      <c r="B38" s="54"/>
      <c r="C38" s="54"/>
      <c r="D38" s="54"/>
      <c r="E38" s="54"/>
      <c r="F38" s="54"/>
      <c r="G38" s="56"/>
      <c r="H38" s="56"/>
      <c r="I38" s="57"/>
      <c r="J38" s="56"/>
      <c r="K38" s="54"/>
      <c r="L38" s="54"/>
      <c r="M38" s="54"/>
      <c r="N38" s="56"/>
      <c r="O38" s="54"/>
      <c r="P38" s="56"/>
      <c r="Q38" s="54"/>
      <c r="R38" s="56"/>
      <c r="S38" s="54"/>
      <c r="T38" s="57"/>
      <c r="U38" s="58" t="str">
        <f t="shared" si="0"/>
        <v/>
      </c>
      <c r="V38" s="56"/>
      <c r="W38" s="54"/>
      <c r="X38" s="56"/>
      <c r="Y38" s="54"/>
      <c r="Z38" s="59" t="str">
        <f t="shared" si="1"/>
        <v/>
      </c>
      <c r="AA38" s="59" t="str">
        <f t="shared" si="2"/>
        <v/>
      </c>
      <c r="AB38" s="59" t="str">
        <f t="shared" si="3"/>
        <v/>
      </c>
      <c r="AC38" s="59" t="str">
        <f t="shared" si="4"/>
        <v/>
      </c>
      <c r="AD38" s="56"/>
      <c r="AE38" s="59" t="str">
        <f>IF($B38="","",COUNTIFS('01_HSo TienKC'!$B:$B,$B38,'01_HSo TienKC'!$J:$J,"Đã duyệt"))</f>
        <v/>
      </c>
      <c r="AF38" s="38"/>
      <c r="AG38" s="38"/>
      <c r="AH38" s="38"/>
      <c r="AI38" s="59" t="str">
        <f>IF($B38="","",COUNTIFS('02_KH Thang_Tuan'!$B:$B,$B38,'02_KH Thang_Tuan'!$J:$J,"Đã duyệt")&amp;"/"&amp;COUNTIFS('02_KH Thang_Tuan'!$B:$B,$B38))</f>
        <v/>
      </c>
      <c r="AJ38" s="59" t="str">
        <f>IF($B38="","",COUNTIFS('03_Phat sinh'!$C:$C,$B38,'03_Phat sinh'!$M:$M,"&lt;&gt;Đã duyệt"))</f>
        <v/>
      </c>
      <c r="AK38" s="59" t="str">
        <f>IF($B38="","",COUNTIFS('04_CU dac thu'!$C:$C,$B38,'04_CU dac thu'!$N:$N,"&lt;&gt;Đã duyệt"))</f>
        <v/>
      </c>
      <c r="AL38" s="59" t="str">
        <f>IF($B38="","",COUNTIFS('05_Bu tien do'!$B:$B,$B38,'05_Bu tien do'!$N:$N,"&lt;&gt;Đã hoàn thành"))</f>
        <v/>
      </c>
      <c r="AM38" s="60"/>
      <c r="AN38" s="60"/>
      <c r="AO38" s="54"/>
      <c r="AP38" s="60"/>
      <c r="AQ38" s="60"/>
      <c r="AR38" s="54"/>
      <c r="AS38" s="60"/>
      <c r="AT38" s="60"/>
      <c r="AU38" s="54"/>
      <c r="AV38" s="60"/>
      <c r="AW38" s="60"/>
      <c r="AX38" s="54"/>
      <c r="AY38" s="60"/>
      <c r="AZ38" s="60"/>
      <c r="BA38" s="54"/>
      <c r="BB38" s="60"/>
      <c r="BC38" s="60"/>
      <c r="BD38" s="54"/>
    </row>
    <row r="39" spans="1:56">
      <c r="A39" s="54"/>
      <c r="B39" s="54"/>
      <c r="C39" s="54"/>
      <c r="D39" s="54"/>
      <c r="E39" s="54"/>
      <c r="F39" s="54"/>
      <c r="G39" s="56"/>
      <c r="H39" s="56"/>
      <c r="I39" s="57"/>
      <c r="J39" s="56"/>
      <c r="K39" s="54"/>
      <c r="L39" s="54"/>
      <c r="M39" s="54"/>
      <c r="N39" s="56"/>
      <c r="O39" s="54"/>
      <c r="P39" s="56"/>
      <c r="Q39" s="54"/>
      <c r="R39" s="56"/>
      <c r="S39" s="54"/>
      <c r="T39" s="57"/>
      <c r="U39" s="58" t="str">
        <f t="shared" si="0"/>
        <v/>
      </c>
      <c r="V39" s="56"/>
      <c r="W39" s="54"/>
      <c r="X39" s="56"/>
      <c r="Y39" s="54"/>
      <c r="Z39" s="59" t="str">
        <f t="shared" si="1"/>
        <v/>
      </c>
      <c r="AA39" s="59" t="str">
        <f t="shared" si="2"/>
        <v/>
      </c>
      <c r="AB39" s="59" t="str">
        <f t="shared" si="3"/>
        <v/>
      </c>
      <c r="AC39" s="59" t="str">
        <f t="shared" si="4"/>
        <v/>
      </c>
      <c r="AD39" s="56"/>
      <c r="AE39" s="59" t="str">
        <f>IF($B39="","",COUNTIFS('01_HSo TienKC'!$B:$B,$B39,'01_HSo TienKC'!$J:$J,"Đã duyệt"))</f>
        <v/>
      </c>
      <c r="AF39" s="38"/>
      <c r="AG39" s="38"/>
      <c r="AH39" s="38"/>
      <c r="AI39" s="59" t="str">
        <f>IF($B39="","",COUNTIFS('02_KH Thang_Tuan'!$B:$B,$B39,'02_KH Thang_Tuan'!$J:$J,"Đã duyệt")&amp;"/"&amp;COUNTIFS('02_KH Thang_Tuan'!$B:$B,$B39))</f>
        <v/>
      </c>
      <c r="AJ39" s="59" t="str">
        <f>IF($B39="","",COUNTIFS('03_Phat sinh'!$C:$C,$B39,'03_Phat sinh'!$M:$M,"&lt;&gt;Đã duyệt"))</f>
        <v/>
      </c>
      <c r="AK39" s="59" t="str">
        <f>IF($B39="","",COUNTIFS('04_CU dac thu'!$C:$C,$B39,'04_CU dac thu'!$N:$N,"&lt;&gt;Đã duyệt"))</f>
        <v/>
      </c>
      <c r="AL39" s="59" t="str">
        <f>IF($B39="","",COUNTIFS('05_Bu tien do'!$B:$B,$B39,'05_Bu tien do'!$N:$N,"&lt;&gt;Đã hoàn thành"))</f>
        <v/>
      </c>
      <c r="AM39" s="60"/>
      <c r="AN39" s="60"/>
      <c r="AO39" s="54"/>
      <c r="AP39" s="60"/>
      <c r="AQ39" s="60"/>
      <c r="AR39" s="54"/>
      <c r="AS39" s="60"/>
      <c r="AT39" s="60"/>
      <c r="AU39" s="54"/>
      <c r="AV39" s="60"/>
      <c r="AW39" s="60"/>
      <c r="AX39" s="54"/>
      <c r="AY39" s="60"/>
      <c r="AZ39" s="60"/>
      <c r="BA39" s="54"/>
      <c r="BB39" s="60"/>
      <c r="BC39" s="60"/>
      <c r="BD39" s="54"/>
    </row>
    <row r="40" spans="1:56">
      <c r="A40" s="54"/>
      <c r="B40" s="54"/>
      <c r="C40" s="54"/>
      <c r="D40" s="54"/>
      <c r="E40" s="54"/>
      <c r="F40" s="54"/>
      <c r="G40" s="56"/>
      <c r="H40" s="56"/>
      <c r="I40" s="57"/>
      <c r="J40" s="56"/>
      <c r="K40" s="54"/>
      <c r="L40" s="54"/>
      <c r="M40" s="54"/>
      <c r="N40" s="56"/>
      <c r="O40" s="54"/>
      <c r="P40" s="56"/>
      <c r="Q40" s="54"/>
      <c r="R40" s="56"/>
      <c r="S40" s="54"/>
      <c r="T40" s="57"/>
      <c r="U40" s="58" t="str">
        <f t="shared" si="0"/>
        <v/>
      </c>
      <c r="V40" s="56"/>
      <c r="W40" s="54"/>
      <c r="X40" s="56"/>
      <c r="Y40" s="54"/>
      <c r="Z40" s="59" t="str">
        <f t="shared" si="1"/>
        <v/>
      </c>
      <c r="AA40" s="59" t="str">
        <f t="shared" si="2"/>
        <v/>
      </c>
      <c r="AB40" s="59" t="str">
        <f t="shared" si="3"/>
        <v/>
      </c>
      <c r="AC40" s="59" t="str">
        <f t="shared" si="4"/>
        <v/>
      </c>
      <c r="AD40" s="56"/>
      <c r="AE40" s="59" t="str">
        <f>IF($B40="","",COUNTIFS('01_HSo TienKC'!$B:$B,$B40,'01_HSo TienKC'!$J:$J,"Đã duyệt"))</f>
        <v/>
      </c>
      <c r="AF40" s="38"/>
      <c r="AG40" s="38"/>
      <c r="AH40" s="38"/>
      <c r="AI40" s="59" t="str">
        <f>IF($B40="","",COUNTIFS('02_KH Thang_Tuan'!$B:$B,$B40,'02_KH Thang_Tuan'!$J:$J,"Đã duyệt")&amp;"/"&amp;COUNTIFS('02_KH Thang_Tuan'!$B:$B,$B40))</f>
        <v/>
      </c>
      <c r="AJ40" s="59" t="str">
        <f>IF($B40="","",COUNTIFS('03_Phat sinh'!$C:$C,$B40,'03_Phat sinh'!$M:$M,"&lt;&gt;Đã duyệt"))</f>
        <v/>
      </c>
      <c r="AK40" s="59" t="str">
        <f>IF($B40="","",COUNTIFS('04_CU dac thu'!$C:$C,$B40,'04_CU dac thu'!$N:$N,"&lt;&gt;Đã duyệt"))</f>
        <v/>
      </c>
      <c r="AL40" s="59" t="str">
        <f>IF($B40="","",COUNTIFS('05_Bu tien do'!$B:$B,$B40,'05_Bu tien do'!$N:$N,"&lt;&gt;Đã hoàn thành"))</f>
        <v/>
      </c>
      <c r="AM40" s="60"/>
      <c r="AN40" s="60"/>
      <c r="AO40" s="54"/>
      <c r="AP40" s="60"/>
      <c r="AQ40" s="60"/>
      <c r="AR40" s="54"/>
      <c r="AS40" s="60"/>
      <c r="AT40" s="60"/>
      <c r="AU40" s="54"/>
      <c r="AV40" s="60"/>
      <c r="AW40" s="60"/>
      <c r="AX40" s="54"/>
      <c r="AY40" s="60"/>
      <c r="AZ40" s="60"/>
      <c r="BA40" s="54"/>
      <c r="BB40" s="60"/>
      <c r="BC40" s="60"/>
      <c r="BD40" s="54"/>
    </row>
    <row r="41" spans="1:56">
      <c r="A41" s="54"/>
      <c r="B41" s="54"/>
      <c r="C41" s="54"/>
      <c r="D41" s="54"/>
      <c r="E41" s="54"/>
      <c r="F41" s="54"/>
      <c r="G41" s="56"/>
      <c r="H41" s="56"/>
      <c r="I41" s="57"/>
      <c r="J41" s="56"/>
      <c r="K41" s="54"/>
      <c r="L41" s="54"/>
      <c r="M41" s="54"/>
      <c r="N41" s="56"/>
      <c r="O41" s="54"/>
      <c r="P41" s="56"/>
      <c r="Q41" s="54"/>
      <c r="R41" s="56"/>
      <c r="S41" s="54"/>
      <c r="T41" s="57"/>
      <c r="U41" s="58" t="str">
        <f t="shared" si="0"/>
        <v/>
      </c>
      <c r="V41" s="56"/>
      <c r="W41" s="54"/>
      <c r="X41" s="56"/>
      <c r="Y41" s="54"/>
      <c r="Z41" s="59" t="str">
        <f t="shared" si="1"/>
        <v/>
      </c>
      <c r="AA41" s="59" t="str">
        <f t="shared" si="2"/>
        <v/>
      </c>
      <c r="AB41" s="59" t="str">
        <f t="shared" si="3"/>
        <v/>
      </c>
      <c r="AC41" s="59" t="str">
        <f t="shared" si="4"/>
        <v/>
      </c>
      <c r="AD41" s="56"/>
      <c r="AE41" s="59" t="str">
        <f>IF($B41="","",COUNTIFS('01_HSo TienKC'!$B:$B,$B41,'01_HSo TienKC'!$J:$J,"Đã duyệt"))</f>
        <v/>
      </c>
      <c r="AF41" s="38"/>
      <c r="AG41" s="38"/>
      <c r="AH41" s="38"/>
      <c r="AI41" s="59" t="str">
        <f>IF($B41="","",COUNTIFS('02_KH Thang_Tuan'!$B:$B,$B41,'02_KH Thang_Tuan'!$J:$J,"Đã duyệt")&amp;"/"&amp;COUNTIFS('02_KH Thang_Tuan'!$B:$B,$B41))</f>
        <v/>
      </c>
      <c r="AJ41" s="59" t="str">
        <f>IF($B41="","",COUNTIFS('03_Phat sinh'!$C:$C,$B41,'03_Phat sinh'!$M:$M,"&lt;&gt;Đã duyệt"))</f>
        <v/>
      </c>
      <c r="AK41" s="59" t="str">
        <f>IF($B41="","",COUNTIFS('04_CU dac thu'!$C:$C,$B41,'04_CU dac thu'!$N:$N,"&lt;&gt;Đã duyệt"))</f>
        <v/>
      </c>
      <c r="AL41" s="59" t="str">
        <f>IF($B41="","",COUNTIFS('05_Bu tien do'!$B:$B,$B41,'05_Bu tien do'!$N:$N,"&lt;&gt;Đã hoàn thành"))</f>
        <v/>
      </c>
      <c r="AM41" s="60"/>
      <c r="AN41" s="60"/>
      <c r="AO41" s="54"/>
      <c r="AP41" s="60"/>
      <c r="AQ41" s="60"/>
      <c r="AR41" s="54"/>
      <c r="AS41" s="60"/>
      <c r="AT41" s="60"/>
      <c r="AU41" s="54"/>
      <c r="AV41" s="60"/>
      <c r="AW41" s="60"/>
      <c r="AX41" s="54"/>
      <c r="AY41" s="60"/>
      <c r="AZ41" s="60"/>
      <c r="BA41" s="54"/>
      <c r="BB41" s="60"/>
      <c r="BC41" s="60"/>
      <c r="BD41" s="54"/>
    </row>
    <row r="42" spans="1:56">
      <c r="A42" s="54"/>
      <c r="B42" s="54"/>
      <c r="C42" s="54"/>
      <c r="D42" s="54"/>
      <c r="E42" s="54"/>
      <c r="F42" s="54"/>
      <c r="G42" s="56"/>
      <c r="H42" s="56"/>
      <c r="I42" s="57"/>
      <c r="J42" s="56"/>
      <c r="K42" s="54"/>
      <c r="L42" s="54"/>
      <c r="M42" s="54"/>
      <c r="N42" s="56"/>
      <c r="O42" s="54"/>
      <c r="P42" s="56"/>
      <c r="Q42" s="54"/>
      <c r="R42" s="56"/>
      <c r="S42" s="54"/>
      <c r="T42" s="57"/>
      <c r="U42" s="58" t="str">
        <f t="shared" si="0"/>
        <v/>
      </c>
      <c r="V42" s="56"/>
      <c r="W42" s="54"/>
      <c r="X42" s="56"/>
      <c r="Y42" s="54"/>
      <c r="Z42" s="59" t="str">
        <f t="shared" si="1"/>
        <v/>
      </c>
      <c r="AA42" s="59" t="str">
        <f t="shared" si="2"/>
        <v/>
      </c>
      <c r="AB42" s="59" t="str">
        <f t="shared" si="3"/>
        <v/>
      </c>
      <c r="AC42" s="59" t="str">
        <f t="shared" si="4"/>
        <v/>
      </c>
      <c r="AD42" s="56"/>
      <c r="AE42" s="59" t="str">
        <f>IF($B42="","",COUNTIFS('01_HSo TienKC'!$B:$B,$B42,'01_HSo TienKC'!$J:$J,"Đã duyệt"))</f>
        <v/>
      </c>
      <c r="AF42" s="38"/>
      <c r="AG42" s="38"/>
      <c r="AH42" s="38"/>
      <c r="AI42" s="59" t="str">
        <f>IF($B42="","",COUNTIFS('02_KH Thang_Tuan'!$B:$B,$B42,'02_KH Thang_Tuan'!$J:$J,"Đã duyệt")&amp;"/"&amp;COUNTIFS('02_KH Thang_Tuan'!$B:$B,$B42))</f>
        <v/>
      </c>
      <c r="AJ42" s="59" t="str">
        <f>IF($B42="","",COUNTIFS('03_Phat sinh'!$C:$C,$B42,'03_Phat sinh'!$M:$M,"&lt;&gt;Đã duyệt"))</f>
        <v/>
      </c>
      <c r="AK42" s="59" t="str">
        <f>IF($B42="","",COUNTIFS('04_CU dac thu'!$C:$C,$B42,'04_CU dac thu'!$N:$N,"&lt;&gt;Đã duyệt"))</f>
        <v/>
      </c>
      <c r="AL42" s="59" t="str">
        <f>IF($B42="","",COUNTIFS('05_Bu tien do'!$B:$B,$B42,'05_Bu tien do'!$N:$N,"&lt;&gt;Đã hoàn thành"))</f>
        <v/>
      </c>
      <c r="AM42" s="60"/>
      <c r="AN42" s="60"/>
      <c r="AO42" s="54"/>
      <c r="AP42" s="60"/>
      <c r="AQ42" s="60"/>
      <c r="AR42" s="54"/>
      <c r="AS42" s="60"/>
      <c r="AT42" s="60"/>
      <c r="AU42" s="54"/>
      <c r="AV42" s="60"/>
      <c r="AW42" s="60"/>
      <c r="AX42" s="54"/>
      <c r="AY42" s="60"/>
      <c r="AZ42" s="60"/>
      <c r="BA42" s="54"/>
      <c r="BB42" s="60"/>
      <c r="BC42" s="60"/>
      <c r="BD42" s="54"/>
    </row>
    <row r="43" spans="1:56">
      <c r="A43" s="54"/>
      <c r="B43" s="54"/>
      <c r="C43" s="54"/>
      <c r="D43" s="54"/>
      <c r="E43" s="54"/>
      <c r="F43" s="54"/>
      <c r="G43" s="56"/>
      <c r="H43" s="56"/>
      <c r="I43" s="57"/>
      <c r="J43" s="56"/>
      <c r="K43" s="54"/>
      <c r="L43" s="54"/>
      <c r="M43" s="54"/>
      <c r="N43" s="56"/>
      <c r="O43" s="54"/>
      <c r="P43" s="56"/>
      <c r="Q43" s="54"/>
      <c r="R43" s="56"/>
      <c r="S43" s="54"/>
      <c r="T43" s="57"/>
      <c r="U43" s="58" t="str">
        <f t="shared" si="0"/>
        <v/>
      </c>
      <c r="V43" s="56"/>
      <c r="W43" s="54"/>
      <c r="X43" s="56"/>
      <c r="Y43" s="54"/>
      <c r="Z43" s="59" t="str">
        <f t="shared" si="1"/>
        <v/>
      </c>
      <c r="AA43" s="59" t="str">
        <f t="shared" si="2"/>
        <v/>
      </c>
      <c r="AB43" s="59" t="str">
        <f t="shared" si="3"/>
        <v/>
      </c>
      <c r="AC43" s="59" t="str">
        <f t="shared" si="4"/>
        <v/>
      </c>
      <c r="AD43" s="56"/>
      <c r="AE43" s="59" t="str">
        <f>IF($B43="","",COUNTIFS('01_HSo TienKC'!$B:$B,$B43,'01_HSo TienKC'!$J:$J,"Đã duyệt"))</f>
        <v/>
      </c>
      <c r="AF43" s="38"/>
      <c r="AG43" s="38"/>
      <c r="AH43" s="38"/>
      <c r="AI43" s="59" t="str">
        <f>IF($B43="","",COUNTIFS('02_KH Thang_Tuan'!$B:$B,$B43,'02_KH Thang_Tuan'!$J:$J,"Đã duyệt")&amp;"/"&amp;COUNTIFS('02_KH Thang_Tuan'!$B:$B,$B43))</f>
        <v/>
      </c>
      <c r="AJ43" s="59" t="str">
        <f>IF($B43="","",COUNTIFS('03_Phat sinh'!$C:$C,$B43,'03_Phat sinh'!$M:$M,"&lt;&gt;Đã duyệt"))</f>
        <v/>
      </c>
      <c r="AK43" s="59" t="str">
        <f>IF($B43="","",COUNTIFS('04_CU dac thu'!$C:$C,$B43,'04_CU dac thu'!$N:$N,"&lt;&gt;Đã duyệt"))</f>
        <v/>
      </c>
      <c r="AL43" s="59" t="str">
        <f>IF($B43="","",COUNTIFS('05_Bu tien do'!$B:$B,$B43,'05_Bu tien do'!$N:$N,"&lt;&gt;Đã hoàn thành"))</f>
        <v/>
      </c>
      <c r="AM43" s="60"/>
      <c r="AN43" s="60"/>
      <c r="AO43" s="54"/>
      <c r="AP43" s="60"/>
      <c r="AQ43" s="60"/>
      <c r="AR43" s="54"/>
      <c r="AS43" s="60"/>
      <c r="AT43" s="60"/>
      <c r="AU43" s="54"/>
      <c r="AV43" s="60"/>
      <c r="AW43" s="60"/>
      <c r="AX43" s="54"/>
      <c r="AY43" s="60"/>
      <c r="AZ43" s="60"/>
      <c r="BA43" s="54"/>
      <c r="BB43" s="60"/>
      <c r="BC43" s="60"/>
      <c r="BD43" s="54"/>
    </row>
    <row r="44" spans="1:56">
      <c r="A44" s="54"/>
      <c r="B44" s="54"/>
      <c r="C44" s="54"/>
      <c r="D44" s="54"/>
      <c r="E44" s="54"/>
      <c r="F44" s="54"/>
      <c r="G44" s="56"/>
      <c r="H44" s="56"/>
      <c r="I44" s="57"/>
      <c r="J44" s="56"/>
      <c r="K44" s="54"/>
      <c r="L44" s="54"/>
      <c r="M44" s="54"/>
      <c r="N44" s="56"/>
      <c r="O44" s="54"/>
      <c r="P44" s="56"/>
      <c r="Q44" s="54"/>
      <c r="R44" s="56"/>
      <c r="S44" s="54"/>
      <c r="T44" s="57"/>
      <c r="U44" s="58" t="str">
        <f t="shared" si="0"/>
        <v/>
      </c>
      <c r="V44" s="56"/>
      <c r="W44" s="54"/>
      <c r="X44" s="56"/>
      <c r="Y44" s="54"/>
      <c r="Z44" s="59" t="str">
        <f t="shared" si="1"/>
        <v/>
      </c>
      <c r="AA44" s="59" t="str">
        <f t="shared" si="2"/>
        <v/>
      </c>
      <c r="AB44" s="59" t="str">
        <f t="shared" si="3"/>
        <v/>
      </c>
      <c r="AC44" s="59" t="str">
        <f t="shared" si="4"/>
        <v/>
      </c>
      <c r="AD44" s="56"/>
      <c r="AE44" s="59" t="str">
        <f>IF($B44="","",COUNTIFS('01_HSo TienKC'!$B:$B,$B44,'01_HSo TienKC'!$J:$J,"Đã duyệt"))</f>
        <v/>
      </c>
      <c r="AF44" s="38"/>
      <c r="AG44" s="38"/>
      <c r="AH44" s="38"/>
      <c r="AI44" s="59" t="str">
        <f>IF($B44="","",COUNTIFS('02_KH Thang_Tuan'!$B:$B,$B44,'02_KH Thang_Tuan'!$J:$J,"Đã duyệt")&amp;"/"&amp;COUNTIFS('02_KH Thang_Tuan'!$B:$B,$B44))</f>
        <v/>
      </c>
      <c r="AJ44" s="59" t="str">
        <f>IF($B44="","",COUNTIFS('03_Phat sinh'!$C:$C,$B44,'03_Phat sinh'!$M:$M,"&lt;&gt;Đã duyệt"))</f>
        <v/>
      </c>
      <c r="AK44" s="59" t="str">
        <f>IF($B44="","",COUNTIFS('04_CU dac thu'!$C:$C,$B44,'04_CU dac thu'!$N:$N,"&lt;&gt;Đã duyệt"))</f>
        <v/>
      </c>
      <c r="AL44" s="59" t="str">
        <f>IF($B44="","",COUNTIFS('05_Bu tien do'!$B:$B,$B44,'05_Bu tien do'!$N:$N,"&lt;&gt;Đã hoàn thành"))</f>
        <v/>
      </c>
      <c r="AM44" s="60"/>
      <c r="AN44" s="60"/>
      <c r="AO44" s="54"/>
      <c r="AP44" s="60"/>
      <c r="AQ44" s="60"/>
      <c r="AR44" s="54"/>
      <c r="AS44" s="60"/>
      <c r="AT44" s="60"/>
      <c r="AU44" s="54"/>
      <c r="AV44" s="60"/>
      <c r="AW44" s="60"/>
      <c r="AX44" s="54"/>
      <c r="AY44" s="60"/>
      <c r="AZ44" s="60"/>
      <c r="BA44" s="54"/>
      <c r="BB44" s="60"/>
      <c r="BC44" s="60"/>
      <c r="BD44" s="54"/>
    </row>
    <row r="45" spans="1:56">
      <c r="A45" s="54"/>
      <c r="B45" s="54"/>
      <c r="C45" s="54"/>
      <c r="D45" s="54"/>
      <c r="E45" s="54"/>
      <c r="F45" s="54"/>
      <c r="G45" s="56"/>
      <c r="H45" s="56"/>
      <c r="I45" s="57"/>
      <c r="J45" s="56"/>
      <c r="K45" s="54"/>
      <c r="L45" s="54"/>
      <c r="M45" s="54"/>
      <c r="N45" s="56"/>
      <c r="O45" s="54"/>
      <c r="P45" s="56"/>
      <c r="Q45" s="54"/>
      <c r="R45" s="56"/>
      <c r="S45" s="54"/>
      <c r="T45" s="57"/>
      <c r="U45" s="58" t="str">
        <f t="shared" si="0"/>
        <v/>
      </c>
      <c r="V45" s="56"/>
      <c r="W45" s="54"/>
      <c r="X45" s="56"/>
      <c r="Y45" s="54"/>
      <c r="Z45" s="59" t="str">
        <f t="shared" si="1"/>
        <v/>
      </c>
      <c r="AA45" s="59" t="str">
        <f t="shared" si="2"/>
        <v/>
      </c>
      <c r="AB45" s="59" t="str">
        <f t="shared" si="3"/>
        <v/>
      </c>
      <c r="AC45" s="59" t="str">
        <f t="shared" si="4"/>
        <v/>
      </c>
      <c r="AD45" s="56"/>
      <c r="AE45" s="59" t="str">
        <f>IF($B45="","",COUNTIFS('01_HSo TienKC'!$B:$B,$B45,'01_HSo TienKC'!$J:$J,"Đã duyệt"))</f>
        <v/>
      </c>
      <c r="AF45" s="38"/>
      <c r="AG45" s="38"/>
      <c r="AH45" s="38"/>
      <c r="AI45" s="59" t="str">
        <f>IF($B45="","",COUNTIFS('02_KH Thang_Tuan'!$B:$B,$B45,'02_KH Thang_Tuan'!$J:$J,"Đã duyệt")&amp;"/"&amp;COUNTIFS('02_KH Thang_Tuan'!$B:$B,$B45))</f>
        <v/>
      </c>
      <c r="AJ45" s="59" t="str">
        <f>IF($B45="","",COUNTIFS('03_Phat sinh'!$C:$C,$B45,'03_Phat sinh'!$M:$M,"&lt;&gt;Đã duyệt"))</f>
        <v/>
      </c>
      <c r="AK45" s="59" t="str">
        <f>IF($B45="","",COUNTIFS('04_CU dac thu'!$C:$C,$B45,'04_CU dac thu'!$N:$N,"&lt;&gt;Đã duyệt"))</f>
        <v/>
      </c>
      <c r="AL45" s="59" t="str">
        <f>IF($B45="","",COUNTIFS('05_Bu tien do'!$B:$B,$B45,'05_Bu tien do'!$N:$N,"&lt;&gt;Đã hoàn thành"))</f>
        <v/>
      </c>
      <c r="AM45" s="60"/>
      <c r="AN45" s="60"/>
      <c r="AO45" s="54"/>
      <c r="AP45" s="60"/>
      <c r="AQ45" s="60"/>
      <c r="AR45" s="54"/>
      <c r="AS45" s="60"/>
      <c r="AT45" s="60"/>
      <c r="AU45" s="54"/>
      <c r="AV45" s="60"/>
      <c r="AW45" s="60"/>
      <c r="AX45" s="54"/>
      <c r="AY45" s="60"/>
      <c r="AZ45" s="60"/>
      <c r="BA45" s="54"/>
      <c r="BB45" s="60"/>
      <c r="BC45" s="60"/>
      <c r="BD45" s="54"/>
    </row>
    <row r="46" spans="1:56">
      <c r="AF46" s="46"/>
      <c r="AG46" s="46"/>
      <c r="AH46" s="46"/>
    </row>
    <row r="47" spans="1:56">
      <c r="AF47" s="38"/>
      <c r="AG47" s="38"/>
      <c r="AH47" s="38"/>
    </row>
    <row r="48" spans="1:56">
      <c r="AF48" s="38"/>
      <c r="AG48" s="38"/>
      <c r="AH48" s="38"/>
    </row>
    <row r="49" spans="32:34">
      <c r="AF49" s="38"/>
      <c r="AG49" s="38"/>
      <c r="AH49" s="38"/>
    </row>
    <row r="50" spans="32:34">
      <c r="AF50" s="38"/>
      <c r="AG50" s="38"/>
      <c r="AH50" s="38"/>
    </row>
    <row r="51" spans="32:34">
      <c r="AF51" s="38"/>
      <c r="AG51" s="38"/>
      <c r="AH51" s="38"/>
    </row>
    <row r="52" spans="32:34">
      <c r="AF52" s="38"/>
      <c r="AG52" s="38"/>
      <c r="AH52" s="38"/>
    </row>
    <row r="53" spans="32:34">
      <c r="AF53" s="38"/>
      <c r="AG53" s="38"/>
      <c r="AH53" s="38"/>
    </row>
    <row r="54" spans="32:34">
      <c r="AF54" s="38"/>
      <c r="AG54" s="38"/>
      <c r="AH54" s="38"/>
    </row>
    <row r="55" spans="32:34">
      <c r="AF55" s="38"/>
      <c r="AG55" s="38"/>
      <c r="AH55" s="38"/>
    </row>
    <row r="56" spans="32:34">
      <c r="AF56" s="38"/>
      <c r="AG56" s="38"/>
      <c r="AH56" s="38"/>
    </row>
    <row r="57" spans="32:34">
      <c r="AF57" s="38"/>
      <c r="AG57" s="38"/>
      <c r="AH57" s="38"/>
    </row>
    <row r="58" spans="32:34">
      <c r="AF58" s="38"/>
      <c r="AG58" s="38"/>
      <c r="AH58" s="38"/>
    </row>
    <row r="59" spans="32:34">
      <c r="AF59" s="38"/>
      <c r="AG59" s="38"/>
      <c r="AH59" s="38"/>
    </row>
    <row r="60" spans="32:34">
      <c r="AF60" s="38"/>
      <c r="AG60" s="38"/>
      <c r="AH60" s="38"/>
    </row>
    <row r="61" spans="32:34">
      <c r="AF61" s="38"/>
      <c r="AG61" s="38"/>
      <c r="AH61" s="38"/>
    </row>
    <row r="62" spans="32:34">
      <c r="AF62" s="38"/>
      <c r="AG62" s="38"/>
      <c r="AH62" s="38"/>
    </row>
    <row r="63" spans="32:34">
      <c r="AF63" s="38"/>
      <c r="AG63" s="38"/>
      <c r="AH63" s="38"/>
    </row>
    <row r="64" spans="32:34">
      <c r="AF64" s="38"/>
      <c r="AG64" s="38"/>
      <c r="AH64" s="38"/>
    </row>
    <row r="65" spans="32:34">
      <c r="AF65" s="38"/>
      <c r="AG65" s="38"/>
      <c r="AH65" s="38"/>
    </row>
    <row r="66" spans="32:34">
      <c r="AF66" s="38"/>
      <c r="AG66" s="38"/>
      <c r="AH66" s="38"/>
    </row>
    <row r="67" spans="32:34">
      <c r="AF67" s="38"/>
      <c r="AG67" s="38"/>
      <c r="AH67" s="38"/>
    </row>
    <row r="68" spans="32:34">
      <c r="AF68" s="38"/>
      <c r="AG68" s="38"/>
      <c r="AH68" s="38"/>
    </row>
    <row r="69" spans="32:34">
      <c r="AF69" s="38"/>
      <c r="AG69" s="38"/>
      <c r="AH69" s="38"/>
    </row>
    <row r="70" spans="32:34">
      <c r="AF70" s="38"/>
      <c r="AG70" s="38"/>
      <c r="AH70" s="38"/>
    </row>
    <row r="71" spans="32:34">
      <c r="AF71" s="38"/>
      <c r="AG71" s="38"/>
      <c r="AH71" s="38"/>
    </row>
    <row r="72" spans="32:34">
      <c r="AF72" s="38"/>
      <c r="AG72" s="38"/>
      <c r="AH72" s="38"/>
    </row>
    <row r="73" spans="32:34">
      <c r="AF73" s="38"/>
      <c r="AG73" s="38"/>
      <c r="AH73" s="38"/>
    </row>
    <row r="74" spans="32:34">
      <c r="AF74" s="38"/>
      <c r="AG74" s="38"/>
      <c r="AH74" s="38"/>
    </row>
    <row r="75" spans="32:34">
      <c r="AF75" s="38"/>
      <c r="AG75" s="38"/>
      <c r="AH75" s="38"/>
    </row>
    <row r="76" spans="32:34">
      <c r="AF76" s="38"/>
      <c r="AG76" s="38"/>
      <c r="AH76" s="38"/>
    </row>
    <row r="77" spans="32:34">
      <c r="AF77" s="38"/>
      <c r="AG77" s="38"/>
      <c r="AH77" s="38"/>
    </row>
    <row r="78" spans="32:34">
      <c r="AF78" s="38"/>
      <c r="AG78" s="38"/>
      <c r="AH78" s="38"/>
    </row>
    <row r="79" spans="32:34">
      <c r="AF79" s="38"/>
      <c r="AG79" s="38"/>
      <c r="AH79" s="38"/>
    </row>
    <row r="80" spans="32:34">
      <c r="AF80" s="38"/>
      <c r="AG80" s="38"/>
      <c r="AH80" s="38"/>
    </row>
    <row r="81" spans="32:34">
      <c r="AF81" s="38"/>
      <c r="AG81" s="38"/>
      <c r="AH81" s="38"/>
    </row>
    <row r="82" spans="32:34">
      <c r="AF82" s="38"/>
      <c r="AG82" s="38"/>
      <c r="AH82" s="38"/>
    </row>
  </sheetData>
  <mergeCells count="40">
    <mergeCell ref="BB4:BD4"/>
    <mergeCell ref="AD4:AD5"/>
    <mergeCell ref="AE4:AE5"/>
    <mergeCell ref="AP4:AR4"/>
    <mergeCell ref="AS4:AU4"/>
    <mergeCell ref="AV4:AX4"/>
    <mergeCell ref="AF4:AF5"/>
    <mergeCell ref="AG4:AG5"/>
    <mergeCell ref="AH4:AH5"/>
    <mergeCell ref="AM4:AO4"/>
    <mergeCell ref="AY4:BA4"/>
    <mergeCell ref="Y4:Y5"/>
    <mergeCell ref="Z4:Z5"/>
    <mergeCell ref="AA4:AA5"/>
    <mergeCell ref="AB4:AB5"/>
    <mergeCell ref="AC4:AC5"/>
    <mergeCell ref="T4:T5"/>
    <mergeCell ref="U4:U5"/>
    <mergeCell ref="V4:V5"/>
    <mergeCell ref="W4:W5"/>
    <mergeCell ref="X4:X5"/>
    <mergeCell ref="O4:O5"/>
    <mergeCell ref="P4:P5"/>
    <mergeCell ref="Q4:Q5"/>
    <mergeCell ref="R4:R5"/>
    <mergeCell ref="S4:S5"/>
    <mergeCell ref="J4:J5"/>
    <mergeCell ref="K4:K5"/>
    <mergeCell ref="L4:L5"/>
    <mergeCell ref="M4:M5"/>
    <mergeCell ref="N4:N5"/>
    <mergeCell ref="F4:F5"/>
    <mergeCell ref="G4:G5"/>
    <mergeCell ref="H4:H5"/>
    <mergeCell ref="I4:I5"/>
    <mergeCell ref="A4:A5"/>
    <mergeCell ref="B4:B5"/>
    <mergeCell ref="C4:C5"/>
    <mergeCell ref="D4:D5"/>
    <mergeCell ref="E4:E5"/>
  </mergeCells>
  <phoneticPr fontId="15" type="noConversion"/>
  <conditionalFormatting sqref="Z6:AB45">
    <cfRule type="cellIs" dxfId="8" priority="15" operator="equal">
      <formula>"✔"</formula>
    </cfRule>
    <cfRule type="cellIs" dxfId="7" priority="16" operator="equal">
      <formula>"✘"</formula>
    </cfRule>
  </conditionalFormatting>
  <conditionalFormatting sqref="AC6:AC45">
    <cfRule type="expression" dxfId="6" priority="6">
      <formula>ISNUMBER(SEARCH("ĐỦ ĐK",AC6))</formula>
    </cfRule>
    <cfRule type="expression" dxfId="5" priority="7">
      <formula>ISNUMBER(SEARCH("THIẾU",AC6))</formula>
    </cfRule>
  </conditionalFormatting>
  <conditionalFormatting sqref="AJ6:AL45">
    <cfRule type="cellIs" dxfId="4" priority="21" operator="greaterThan">
      <formula>0</formula>
    </cfRule>
  </conditionalFormatting>
  <conditionalFormatting sqref="AF6:AL82">
    <cfRule type="expression" dxfId="3" priority="1">
      <formula>ISNUMBER(SEARCH("ĐỎ",AF6))</formula>
    </cfRule>
    <cfRule type="expression" dxfId="2" priority="2">
      <formula>ISNUMBER(SEARCH("CAM",AF6))</formula>
    </cfRule>
    <cfRule type="expression" dxfId="1" priority="3">
      <formula>ISNUMBER(SEARCH("VÀNG",AF6))</formula>
    </cfRule>
    <cfRule type="expression" dxfId="0" priority="4">
      <formula>ISNUMBER(SEARCH("XANH",AF6))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'DM_Danh muc'!$J$3:$J$5</xm:f>
          </x14:formula1>
          <x14:formula2>
            <xm:f>0</xm:f>
          </x14:formula2>
          <xm:sqref>D6:D45</xm:sqref>
        </x14:dataValidation>
        <x14:dataValidation type="list" allowBlank="1" xr:uid="{00000000-0002-0000-0100-000001000000}">
          <x14:formula1>
            <xm:f>'DM_Danh muc'!$K$3:$K$5</xm:f>
          </x14:formula1>
          <x14:formula2>
            <xm:f>0</xm:f>
          </x14:formula2>
          <xm:sqref>C8:C28</xm:sqref>
        </x14:dataValidation>
        <x14:dataValidation type="list" allowBlank="1" xr:uid="{00000000-0002-0000-0100-000003000000}">
          <x14:formula1>
            <xm:f>'DM_Danh muc'!$B$3:$B$5</xm:f>
          </x14:formula1>
          <x14:formula2>
            <xm:f>0</xm:f>
          </x14:formula2>
          <xm:sqref>L6:L45</xm:sqref>
        </x14:dataValidation>
        <x14:dataValidation type="list" allowBlank="1" xr:uid="{00000000-0002-0000-0100-000004000000}">
          <x14:formula1>
            <xm:f>'DM_Danh muc'!$C$3:$C$6</xm:f>
          </x14:formula1>
          <x14:formula2>
            <xm:f>0</xm:f>
          </x14:formula2>
          <xm:sqref>M6:M45</xm:sqref>
        </x14:dataValidation>
        <x14:dataValidation type="list" allowBlank="1" xr:uid="{00000000-0002-0000-0100-000005000000}">
          <x14:formula1>
            <xm:f>'DM_Danh muc'!$D$3:$D$7</xm:f>
          </x14:formula1>
          <x14:formula2>
            <xm:f>0</xm:f>
          </x14:formula2>
          <xm:sqref>O6:O45</xm:sqref>
        </x14:dataValidation>
        <x14:dataValidation type="list" allowBlank="1" xr:uid="{00000000-0002-0000-0100-000006000000}">
          <x14:formula1>
            <xm:f>'DM_Danh muc'!$E$3:$E$6</xm:f>
          </x14:formula1>
          <x14:formula2>
            <xm:f>0</xm:f>
          </x14:formula2>
          <xm:sqref>Q6:Q45</xm:sqref>
        </x14:dataValidation>
        <x14:dataValidation type="list" allowBlank="1" xr:uid="{00000000-0002-0000-0100-000007000000}">
          <x14:formula1>
            <xm:f>'DM_Danh muc'!$F$3:$F$6</xm:f>
          </x14:formula1>
          <x14:formula2>
            <xm:f>0</xm:f>
          </x14:formula2>
          <xm:sqref>S6:S45</xm:sqref>
        </x14:dataValidation>
        <x14:dataValidation type="list" allowBlank="1" xr:uid="{00000000-0002-0000-0100-000008000000}">
          <x14:formula1>
            <xm:f>'DM_Danh muc'!$G$3:$G$5</xm:f>
          </x14:formula1>
          <x14:formula2>
            <xm:f>0</xm:f>
          </x14:formula2>
          <xm:sqref>W6:W45</xm:sqref>
        </x14:dataValidation>
        <x14:dataValidation type="list" allowBlank="1" xr:uid="{00000000-0002-0000-0100-000009000000}">
          <x14:formula1>
            <xm:f>'DM_Danh muc'!$H$3:$H$5</xm:f>
          </x14:formula1>
          <x14:formula2>
            <xm:f>0</xm:f>
          </x14:formula2>
          <xm:sqref>Y6:Y45</xm:sqref>
        </x14:dataValidation>
        <x14:dataValidation type="list" allowBlank="1" xr:uid="{0AC82F5F-88C4-4626-91C9-B94196DC37E8}">
          <x14:formula1>
            <xm:f>'DM_Danh muc'!$K$3:$K$6</xm:f>
          </x14:formula1>
          <xm:sqref>C8:C28</xm:sqref>
        </x14:dataValidation>
        <x14:dataValidation type="list" allowBlank="1" xr:uid="{00000000-0002-0000-0100-000002000000}">
          <x14:formula1>
            <xm:f>'DM_Danh muc'!$A$3:$A$7</xm:f>
          </x14:formula1>
          <x14:formula2>
            <xm:f>0</xm:f>
          </x14:formula2>
          <xm:sqref>K6:K45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8F"/>
  </sheetPr>
  <dimension ref="A1:J43"/>
  <sheetViews>
    <sheetView zoomScaleNormal="100" workbookViewId="0">
      <pane ySplit="2" topLeftCell="A12" activePane="bottomLeft" state="frozen"/>
      <selection pane="bottomLeft" activeCell="B19" sqref="B19:J19"/>
    </sheetView>
  </sheetViews>
  <sheetFormatPr defaultColWidth="8.7109375" defaultRowHeight="15"/>
  <cols>
    <col min="1" max="1" width="6" customWidth="1"/>
    <col min="2" max="2" width="16" customWidth="1"/>
    <col min="3" max="3" width="24" customWidth="1"/>
    <col min="4" max="4" width="13" customWidth="1"/>
    <col min="5" max="5" width="26" customWidth="1"/>
    <col min="6" max="6" width="22" customWidth="1"/>
    <col min="7" max="7" width="11" customWidth="1"/>
    <col min="8" max="10" width="12" customWidth="1"/>
  </cols>
  <sheetData>
    <row r="1" spans="1:10" ht="15.75">
      <c r="A1" s="77" t="s">
        <v>196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ht="39.75" customHeight="1">
      <c r="A2" s="6" t="s">
        <v>197</v>
      </c>
      <c r="B2" s="6" t="s">
        <v>60</v>
      </c>
      <c r="C2" s="6" t="s">
        <v>198</v>
      </c>
      <c r="D2" s="6" t="s">
        <v>199</v>
      </c>
      <c r="E2" s="6" t="s">
        <v>200</v>
      </c>
      <c r="F2" s="6" t="s">
        <v>201</v>
      </c>
      <c r="G2" s="6" t="s">
        <v>202</v>
      </c>
      <c r="H2" s="6" t="s">
        <v>203</v>
      </c>
      <c r="I2" s="6" t="s">
        <v>204</v>
      </c>
      <c r="J2" s="6" t="s">
        <v>205</v>
      </c>
    </row>
    <row r="3" spans="1:10" ht="30" customHeight="1">
      <c r="A3" s="7">
        <v>1</v>
      </c>
      <c r="B3" s="8" t="s">
        <v>132</v>
      </c>
      <c r="C3" s="8" t="s">
        <v>206</v>
      </c>
      <c r="D3" s="8" t="s">
        <v>207</v>
      </c>
      <c r="E3" s="8" t="s">
        <v>208</v>
      </c>
      <c r="F3" s="9" t="s">
        <v>209</v>
      </c>
      <c r="G3" s="10">
        <v>46162</v>
      </c>
      <c r="H3" s="8" t="s">
        <v>210</v>
      </c>
      <c r="I3" s="8" t="s">
        <v>211</v>
      </c>
      <c r="J3" s="8" t="s">
        <v>129</v>
      </c>
    </row>
    <row r="4" spans="1:10" ht="30" customHeight="1">
      <c r="A4" s="7">
        <v>2</v>
      </c>
      <c r="B4" s="8" t="s">
        <v>132</v>
      </c>
      <c r="C4" s="8" t="s">
        <v>206</v>
      </c>
      <c r="D4" s="8" t="s">
        <v>212</v>
      </c>
      <c r="E4" s="8" t="s">
        <v>213</v>
      </c>
      <c r="F4" s="9" t="s">
        <v>214</v>
      </c>
      <c r="G4" s="10">
        <v>46162</v>
      </c>
      <c r="H4" s="8" t="s">
        <v>210</v>
      </c>
      <c r="I4" s="8" t="s">
        <v>211</v>
      </c>
      <c r="J4" s="8" t="s">
        <v>129</v>
      </c>
    </row>
    <row r="5" spans="1:10" ht="30" customHeight="1">
      <c r="A5" s="7">
        <v>3</v>
      </c>
      <c r="B5" s="8" t="s">
        <v>132</v>
      </c>
      <c r="C5" s="8" t="s">
        <v>206</v>
      </c>
      <c r="D5" s="8" t="s">
        <v>215</v>
      </c>
      <c r="E5" s="8" t="s">
        <v>216</v>
      </c>
      <c r="F5" s="9" t="s">
        <v>217</v>
      </c>
      <c r="G5" s="10">
        <v>46162</v>
      </c>
      <c r="H5" s="8" t="s">
        <v>210</v>
      </c>
      <c r="I5" s="8" t="s">
        <v>211</v>
      </c>
      <c r="J5" s="8" t="s">
        <v>129</v>
      </c>
    </row>
    <row r="6" spans="1:10" ht="30" customHeight="1">
      <c r="A6" s="7">
        <v>4</v>
      </c>
      <c r="B6" s="8" t="s">
        <v>132</v>
      </c>
      <c r="C6" s="8" t="s">
        <v>206</v>
      </c>
      <c r="D6" s="8" t="s">
        <v>218</v>
      </c>
      <c r="E6" s="8" t="s">
        <v>219</v>
      </c>
      <c r="F6" s="9" t="s">
        <v>220</v>
      </c>
      <c r="G6" s="10">
        <v>46160</v>
      </c>
      <c r="H6" s="8" t="s">
        <v>189</v>
      </c>
      <c r="I6" s="8" t="s">
        <v>211</v>
      </c>
      <c r="J6" s="8" t="s">
        <v>129</v>
      </c>
    </row>
    <row r="7" spans="1:10" ht="30" customHeight="1">
      <c r="A7" s="7">
        <v>5</v>
      </c>
      <c r="B7" s="8" t="s">
        <v>132</v>
      </c>
      <c r="C7" s="8" t="s">
        <v>206</v>
      </c>
      <c r="D7" s="8" t="s">
        <v>221</v>
      </c>
      <c r="E7" s="8" t="s">
        <v>222</v>
      </c>
      <c r="F7" s="9" t="s">
        <v>223</v>
      </c>
      <c r="G7" s="10">
        <v>46162</v>
      </c>
      <c r="H7" s="8" t="s">
        <v>224</v>
      </c>
      <c r="I7" s="8" t="s">
        <v>211</v>
      </c>
      <c r="J7" s="8" t="s">
        <v>129</v>
      </c>
    </row>
    <row r="8" spans="1:10" ht="30" customHeight="1">
      <c r="A8" s="7">
        <v>6</v>
      </c>
      <c r="B8" s="8" t="s">
        <v>132</v>
      </c>
      <c r="C8" s="8" t="s">
        <v>206</v>
      </c>
      <c r="D8" s="8" t="s">
        <v>225</v>
      </c>
      <c r="E8" s="8" t="s">
        <v>226</v>
      </c>
      <c r="F8" s="9" t="s">
        <v>227</v>
      </c>
      <c r="G8" s="10">
        <v>46167</v>
      </c>
      <c r="H8" s="8" t="s">
        <v>228</v>
      </c>
      <c r="I8" s="8" t="s">
        <v>211</v>
      </c>
      <c r="J8" s="8" t="s">
        <v>129</v>
      </c>
    </row>
    <row r="9" spans="1:10" ht="30" customHeight="1">
      <c r="A9" s="7">
        <v>7</v>
      </c>
      <c r="B9" s="8" t="s">
        <v>132</v>
      </c>
      <c r="C9" s="8" t="s">
        <v>206</v>
      </c>
      <c r="D9" s="8" t="s">
        <v>229</v>
      </c>
      <c r="E9" s="8" t="s">
        <v>230</v>
      </c>
      <c r="F9" s="9" t="s">
        <v>231</v>
      </c>
      <c r="G9" s="10">
        <v>46164</v>
      </c>
      <c r="H9" s="8" t="s">
        <v>224</v>
      </c>
      <c r="I9" s="8" t="s">
        <v>211</v>
      </c>
      <c r="J9" s="8" t="s">
        <v>129</v>
      </c>
    </row>
    <row r="10" spans="1:10" ht="30" customHeight="1">
      <c r="A10" s="7">
        <v>8</v>
      </c>
      <c r="B10" s="8" t="s">
        <v>132</v>
      </c>
      <c r="C10" s="8" t="s">
        <v>206</v>
      </c>
      <c r="D10" s="8" t="s">
        <v>232</v>
      </c>
      <c r="E10" s="8" t="s">
        <v>233</v>
      </c>
      <c r="F10" s="9" t="s">
        <v>234</v>
      </c>
      <c r="G10" s="10">
        <v>46170</v>
      </c>
      <c r="H10" s="8" t="s">
        <v>228</v>
      </c>
      <c r="I10" s="8" t="s">
        <v>211</v>
      </c>
      <c r="J10" s="8" t="s">
        <v>129</v>
      </c>
    </row>
    <row r="11" spans="1:10" ht="30" customHeight="1">
      <c r="A11" s="7">
        <v>9</v>
      </c>
      <c r="B11" s="8" t="s">
        <v>119</v>
      </c>
      <c r="C11" s="8" t="s">
        <v>235</v>
      </c>
      <c r="D11" s="8" t="s">
        <v>207</v>
      </c>
      <c r="E11" s="8" t="s">
        <v>236</v>
      </c>
      <c r="F11" s="9" t="s">
        <v>237</v>
      </c>
      <c r="G11" s="10">
        <v>45631</v>
      </c>
      <c r="H11" s="8" t="s">
        <v>210</v>
      </c>
      <c r="I11" s="8" t="s">
        <v>211</v>
      </c>
      <c r="J11" s="8" t="s">
        <v>129</v>
      </c>
    </row>
    <row r="12" spans="1:10" ht="30" customHeight="1">
      <c r="A12" s="7">
        <v>10</v>
      </c>
      <c r="B12" s="8" t="s">
        <v>119</v>
      </c>
      <c r="C12" s="8" t="s">
        <v>235</v>
      </c>
      <c r="D12" s="8" t="s">
        <v>212</v>
      </c>
      <c r="E12" s="8" t="s">
        <v>238</v>
      </c>
      <c r="F12" s="9" t="s">
        <v>239</v>
      </c>
      <c r="G12" s="10">
        <v>45631</v>
      </c>
      <c r="H12" s="8" t="s">
        <v>210</v>
      </c>
      <c r="I12" s="8" t="s">
        <v>211</v>
      </c>
      <c r="J12" s="8" t="s">
        <v>129</v>
      </c>
    </row>
    <row r="13" spans="1:10" ht="30" customHeight="1">
      <c r="A13" s="7">
        <v>11</v>
      </c>
      <c r="B13" s="8" t="s">
        <v>119</v>
      </c>
      <c r="C13" s="8" t="s">
        <v>235</v>
      </c>
      <c r="D13" s="8" t="s">
        <v>215</v>
      </c>
      <c r="E13" s="8" t="s">
        <v>240</v>
      </c>
      <c r="F13" s="9" t="s">
        <v>241</v>
      </c>
      <c r="G13" s="10">
        <v>45631</v>
      </c>
      <c r="H13" s="8" t="s">
        <v>210</v>
      </c>
      <c r="I13" s="8" t="s">
        <v>211</v>
      </c>
      <c r="J13" s="8" t="s">
        <v>129</v>
      </c>
    </row>
    <row r="14" spans="1:10" ht="30" customHeight="1">
      <c r="A14" s="7">
        <v>12</v>
      </c>
      <c r="B14" s="8" t="s">
        <v>119</v>
      </c>
      <c r="C14" s="8" t="s">
        <v>235</v>
      </c>
      <c r="D14" s="8" t="s">
        <v>218</v>
      </c>
      <c r="E14" s="8" t="s">
        <v>242</v>
      </c>
      <c r="F14" s="9" t="s">
        <v>243</v>
      </c>
      <c r="G14" s="10">
        <v>45631</v>
      </c>
      <c r="H14" s="8" t="s">
        <v>210</v>
      </c>
      <c r="I14" s="8" t="s">
        <v>211</v>
      </c>
      <c r="J14" s="8" t="s">
        <v>129</v>
      </c>
    </row>
    <row r="15" spans="1:10" ht="30" customHeight="1">
      <c r="A15" s="7">
        <v>13</v>
      </c>
      <c r="B15" s="8" t="s">
        <v>119</v>
      </c>
      <c r="C15" s="8" t="s">
        <v>235</v>
      </c>
      <c r="D15" s="8" t="s">
        <v>221</v>
      </c>
      <c r="E15" s="8" t="s">
        <v>244</v>
      </c>
      <c r="F15" s="9" t="s">
        <v>245</v>
      </c>
      <c r="G15" s="10">
        <v>45631</v>
      </c>
      <c r="H15" s="8" t="s">
        <v>210</v>
      </c>
      <c r="I15" s="8" t="s">
        <v>211</v>
      </c>
      <c r="J15" s="8" t="s">
        <v>129</v>
      </c>
    </row>
    <row r="16" spans="1:10" ht="30" customHeight="1">
      <c r="A16" s="7">
        <v>14</v>
      </c>
      <c r="B16" s="8" t="s">
        <v>119</v>
      </c>
      <c r="C16" s="8" t="s">
        <v>235</v>
      </c>
      <c r="D16" s="8" t="s">
        <v>225</v>
      </c>
      <c r="E16" s="8" t="s">
        <v>246</v>
      </c>
      <c r="F16" s="9" t="s">
        <v>247</v>
      </c>
      <c r="G16" s="10">
        <v>45631</v>
      </c>
      <c r="H16" s="8" t="s">
        <v>210</v>
      </c>
      <c r="I16" s="8" t="s">
        <v>211</v>
      </c>
      <c r="J16" s="8" t="s">
        <v>129</v>
      </c>
    </row>
    <row r="17" spans="1:10" ht="30" customHeight="1">
      <c r="A17" s="7">
        <v>15</v>
      </c>
      <c r="B17" s="8" t="s">
        <v>119</v>
      </c>
      <c r="C17" s="8" t="s">
        <v>235</v>
      </c>
      <c r="D17" s="8" t="s">
        <v>229</v>
      </c>
      <c r="E17" s="8" t="s">
        <v>248</v>
      </c>
      <c r="F17" s="9" t="s">
        <v>249</v>
      </c>
      <c r="G17" s="10">
        <v>45631</v>
      </c>
      <c r="H17" s="8" t="s">
        <v>210</v>
      </c>
      <c r="I17" s="8" t="s">
        <v>211</v>
      </c>
      <c r="J17" s="8" t="s">
        <v>129</v>
      </c>
    </row>
    <row r="18" spans="1:10" ht="30" customHeight="1">
      <c r="A18" s="7">
        <v>16</v>
      </c>
      <c r="B18" s="8" t="s">
        <v>119</v>
      </c>
      <c r="C18" s="8" t="s">
        <v>235</v>
      </c>
      <c r="D18" s="8" t="s">
        <v>232</v>
      </c>
      <c r="E18" s="8" t="s">
        <v>250</v>
      </c>
      <c r="F18" s="9" t="s">
        <v>251</v>
      </c>
      <c r="G18" s="10">
        <v>45631</v>
      </c>
      <c r="H18" s="8" t="s">
        <v>210</v>
      </c>
      <c r="I18" s="8" t="s">
        <v>211</v>
      </c>
      <c r="J18" s="8" t="s">
        <v>129</v>
      </c>
    </row>
    <row r="19" spans="1:10">
      <c r="A19" s="11"/>
      <c r="B19" s="11"/>
      <c r="C19" s="11"/>
      <c r="D19" s="11"/>
      <c r="E19" s="11"/>
      <c r="F19" s="11"/>
      <c r="G19" s="12"/>
      <c r="H19" s="11"/>
      <c r="I19" s="11"/>
      <c r="J19" s="11"/>
    </row>
    <row r="20" spans="1:10">
      <c r="A20" s="11"/>
      <c r="B20" s="11"/>
      <c r="C20" s="11"/>
      <c r="D20" s="11"/>
      <c r="E20" s="11"/>
      <c r="F20" s="11"/>
      <c r="G20" s="12"/>
      <c r="H20" s="11"/>
      <c r="I20" s="11"/>
      <c r="J20" s="11"/>
    </row>
    <row r="21" spans="1:10">
      <c r="A21" s="11"/>
      <c r="B21" s="11"/>
      <c r="C21" s="11"/>
      <c r="D21" s="11"/>
      <c r="E21" s="11"/>
      <c r="F21" s="11"/>
      <c r="G21" s="12"/>
      <c r="H21" s="11"/>
      <c r="I21" s="11"/>
      <c r="J21" s="11"/>
    </row>
    <row r="22" spans="1:10">
      <c r="A22" s="11"/>
      <c r="B22" s="11"/>
      <c r="C22" s="11"/>
      <c r="D22" s="11"/>
      <c r="E22" s="11"/>
      <c r="F22" s="11"/>
      <c r="G22" s="12"/>
      <c r="H22" s="11"/>
      <c r="I22" s="11"/>
      <c r="J22" s="11"/>
    </row>
    <row r="23" spans="1:10">
      <c r="A23" s="11"/>
      <c r="B23" s="11"/>
      <c r="C23" s="11"/>
      <c r="D23" s="11"/>
      <c r="E23" s="11"/>
      <c r="F23" s="11"/>
      <c r="G23" s="12"/>
      <c r="H23" s="11"/>
      <c r="I23" s="11"/>
      <c r="J23" s="11"/>
    </row>
    <row r="24" spans="1:10">
      <c r="A24" s="11"/>
      <c r="B24" s="11"/>
      <c r="C24" s="11"/>
      <c r="D24" s="11"/>
      <c r="E24" s="11"/>
      <c r="F24" s="11"/>
      <c r="G24" s="12"/>
      <c r="H24" s="11"/>
      <c r="I24" s="11"/>
      <c r="J24" s="11"/>
    </row>
    <row r="25" spans="1:10">
      <c r="A25" s="11"/>
      <c r="B25" s="11"/>
      <c r="C25" s="11"/>
      <c r="D25" s="11"/>
      <c r="E25" s="11"/>
      <c r="F25" s="11"/>
      <c r="G25" s="12"/>
      <c r="H25" s="11"/>
      <c r="I25" s="11"/>
      <c r="J25" s="11"/>
    </row>
    <row r="26" spans="1:10">
      <c r="A26" s="11"/>
      <c r="B26" s="11"/>
      <c r="C26" s="11"/>
      <c r="D26" s="11"/>
      <c r="E26" s="11"/>
      <c r="F26" s="11"/>
      <c r="G26" s="12"/>
      <c r="H26" s="11"/>
      <c r="I26" s="11"/>
      <c r="J26" s="11"/>
    </row>
    <row r="27" spans="1:10">
      <c r="A27" s="11"/>
      <c r="B27" s="11"/>
      <c r="C27" s="11"/>
      <c r="D27" s="11"/>
      <c r="E27" s="11"/>
      <c r="F27" s="11"/>
      <c r="G27" s="12"/>
      <c r="H27" s="11"/>
      <c r="I27" s="11"/>
      <c r="J27" s="11"/>
    </row>
    <row r="28" spans="1:10">
      <c r="A28" s="11"/>
      <c r="B28" s="11"/>
      <c r="C28" s="11"/>
      <c r="D28" s="11"/>
      <c r="E28" s="11"/>
      <c r="F28" s="11"/>
      <c r="G28" s="12"/>
      <c r="H28" s="11"/>
      <c r="I28" s="11"/>
      <c r="J28" s="11"/>
    </row>
    <row r="29" spans="1:10">
      <c r="A29" s="11"/>
      <c r="B29" s="11"/>
      <c r="C29" s="11"/>
      <c r="D29" s="11"/>
      <c r="E29" s="11"/>
      <c r="F29" s="11"/>
      <c r="G29" s="12"/>
      <c r="H29" s="11"/>
      <c r="I29" s="11"/>
      <c r="J29" s="11"/>
    </row>
    <row r="30" spans="1:10">
      <c r="A30" s="11"/>
      <c r="B30" s="11"/>
      <c r="C30" s="11"/>
      <c r="D30" s="11"/>
      <c r="E30" s="11"/>
      <c r="F30" s="11"/>
      <c r="G30" s="12"/>
      <c r="H30" s="11"/>
      <c r="I30" s="11"/>
      <c r="J30" s="11"/>
    </row>
    <row r="31" spans="1:10">
      <c r="A31" s="11"/>
      <c r="B31" s="11"/>
      <c r="C31" s="11"/>
      <c r="D31" s="11"/>
      <c r="E31" s="11"/>
      <c r="F31" s="11"/>
      <c r="G31" s="12"/>
      <c r="H31" s="11"/>
      <c r="I31" s="11"/>
      <c r="J31" s="11"/>
    </row>
    <row r="32" spans="1:10">
      <c r="A32" s="11"/>
      <c r="B32" s="11"/>
      <c r="C32" s="11"/>
      <c r="D32" s="11"/>
      <c r="E32" s="11"/>
      <c r="F32" s="11"/>
      <c r="G32" s="12"/>
      <c r="H32" s="11"/>
      <c r="I32" s="11"/>
      <c r="J32" s="11"/>
    </row>
    <row r="33" spans="1:10">
      <c r="A33" s="11"/>
      <c r="B33" s="11"/>
      <c r="C33" s="11"/>
      <c r="D33" s="11"/>
      <c r="E33" s="11"/>
      <c r="F33" s="11"/>
      <c r="G33" s="12"/>
      <c r="H33" s="11"/>
      <c r="I33" s="11"/>
      <c r="J33" s="11"/>
    </row>
    <row r="34" spans="1:10">
      <c r="A34" s="11"/>
      <c r="B34" s="11"/>
      <c r="C34" s="11"/>
      <c r="D34" s="11"/>
      <c r="E34" s="11"/>
      <c r="F34" s="11"/>
      <c r="G34" s="12"/>
      <c r="H34" s="11"/>
      <c r="I34" s="11"/>
      <c r="J34" s="11"/>
    </row>
    <row r="35" spans="1:10">
      <c r="A35" s="11"/>
      <c r="B35" s="11"/>
      <c r="C35" s="11"/>
      <c r="D35" s="11"/>
      <c r="E35" s="11"/>
      <c r="F35" s="11"/>
      <c r="G35" s="12"/>
      <c r="H35" s="11"/>
      <c r="I35" s="11"/>
      <c r="J35" s="11"/>
    </row>
    <row r="36" spans="1:10">
      <c r="A36" s="11"/>
      <c r="B36" s="11"/>
      <c r="C36" s="11"/>
      <c r="D36" s="11"/>
      <c r="E36" s="11"/>
      <c r="F36" s="11"/>
      <c r="G36" s="12"/>
      <c r="H36" s="11"/>
      <c r="I36" s="11"/>
      <c r="J36" s="11"/>
    </row>
    <row r="37" spans="1:10">
      <c r="A37" s="11"/>
      <c r="B37" s="11"/>
      <c r="C37" s="11"/>
      <c r="D37" s="11"/>
      <c r="E37" s="11"/>
      <c r="F37" s="11"/>
      <c r="G37" s="12"/>
      <c r="H37" s="11"/>
      <c r="I37" s="11"/>
      <c r="J37" s="11"/>
    </row>
    <row r="38" spans="1:10">
      <c r="A38" s="11"/>
      <c r="B38" s="11"/>
      <c r="C38" s="11"/>
      <c r="D38" s="11"/>
      <c r="E38" s="11"/>
      <c r="F38" s="11"/>
      <c r="G38" s="12"/>
      <c r="H38" s="11"/>
      <c r="I38" s="11"/>
      <c r="J38" s="11"/>
    </row>
    <row r="39" spans="1:10">
      <c r="A39" s="11"/>
      <c r="B39" s="11"/>
      <c r="C39" s="11"/>
      <c r="D39" s="11"/>
      <c r="E39" s="11"/>
      <c r="F39" s="11"/>
      <c r="G39" s="12"/>
      <c r="H39" s="11"/>
      <c r="I39" s="11"/>
      <c r="J39" s="11"/>
    </row>
    <row r="40" spans="1:10">
      <c r="A40" s="11"/>
      <c r="B40" s="11"/>
      <c r="C40" s="11"/>
      <c r="D40" s="11"/>
      <c r="E40" s="11"/>
      <c r="F40" s="11"/>
      <c r="G40" s="12"/>
      <c r="H40" s="11"/>
      <c r="I40" s="11"/>
      <c r="J40" s="11"/>
    </row>
    <row r="41" spans="1:10">
      <c r="A41" s="11"/>
      <c r="B41" s="11"/>
      <c r="C41" s="11"/>
      <c r="D41" s="11"/>
      <c r="E41" s="11"/>
      <c r="F41" s="11"/>
      <c r="G41" s="12"/>
      <c r="H41" s="11"/>
      <c r="I41" s="11"/>
      <c r="J41" s="11"/>
    </row>
    <row r="42" spans="1:10">
      <c r="A42" s="11"/>
      <c r="B42" s="11"/>
      <c r="C42" s="11"/>
      <c r="D42" s="11"/>
      <c r="E42" s="11"/>
      <c r="F42" s="11"/>
      <c r="G42" s="12"/>
      <c r="H42" s="11"/>
      <c r="I42" s="11"/>
      <c r="J42" s="11"/>
    </row>
    <row r="43" spans="1:10">
      <c r="A43" s="11"/>
      <c r="B43" s="11"/>
      <c r="C43" s="11"/>
      <c r="D43" s="11"/>
      <c r="E43" s="11"/>
      <c r="F43" s="11"/>
      <c r="G43" s="12"/>
      <c r="H43" s="11"/>
      <c r="I43" s="11"/>
      <c r="J43" s="11"/>
    </row>
  </sheetData>
  <mergeCells count="1">
    <mergeCell ref="A1:J1"/>
  </mergeCells>
  <hyperlinks>
    <hyperlink ref="F3" r:id="rId1" xr:uid="{00000000-0004-0000-0200-000000000000}"/>
    <hyperlink ref="F4" r:id="rId2" xr:uid="{00000000-0004-0000-0200-000001000000}"/>
    <hyperlink ref="F5" r:id="rId3" xr:uid="{00000000-0004-0000-0200-000002000000}"/>
    <hyperlink ref="F6" r:id="rId4" xr:uid="{00000000-0004-0000-0200-000003000000}"/>
    <hyperlink ref="F7" r:id="rId5" xr:uid="{00000000-0004-0000-0200-000004000000}"/>
    <hyperlink ref="F8" r:id="rId6" xr:uid="{00000000-0004-0000-0200-000005000000}"/>
    <hyperlink ref="F9" r:id="rId7" xr:uid="{00000000-0004-0000-0200-000006000000}"/>
    <hyperlink ref="F10" r:id="rId8" xr:uid="{00000000-0004-0000-0200-000007000000}"/>
    <hyperlink ref="F11" r:id="rId9" xr:uid="{00000000-0004-0000-0200-000008000000}"/>
    <hyperlink ref="F12" r:id="rId10" xr:uid="{00000000-0004-0000-0200-000009000000}"/>
    <hyperlink ref="F13" r:id="rId11" xr:uid="{00000000-0004-0000-0200-00000A000000}"/>
    <hyperlink ref="F14" r:id="rId12" xr:uid="{00000000-0004-0000-0200-00000B000000}"/>
    <hyperlink ref="F15" r:id="rId13" xr:uid="{00000000-0004-0000-0200-00000C000000}"/>
    <hyperlink ref="F16" r:id="rId14" xr:uid="{00000000-0004-0000-0200-00000D000000}"/>
    <hyperlink ref="F17" r:id="rId15" xr:uid="{00000000-0004-0000-0200-00000E000000}"/>
    <hyperlink ref="F18" r:id="rId16" xr:uid="{00000000-0004-0000-0200-00000F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'DM_Danh muc'!$O$3:$O$10</xm:f>
          </x14:formula1>
          <x14:formula2>
            <xm:f>0</xm:f>
          </x14:formula2>
          <xm:sqref>D3:D43</xm:sqref>
        </x14:dataValidation>
        <x14:dataValidation type="list" allowBlank="1" xr:uid="{00000000-0002-0000-0200-000001000000}">
          <x14:formula1>
            <xm:f>'DM_Danh muc'!$L$3:$L$7</xm:f>
          </x14:formula1>
          <x14:formula2>
            <xm:f>0</xm:f>
          </x14:formula2>
          <xm:sqref>J3:J43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M32"/>
  <sheetViews>
    <sheetView zoomScaleNormal="100" workbookViewId="0">
      <pane ySplit="2" topLeftCell="A3" activePane="bottomLeft" state="frozen"/>
      <selection pane="bottomLeft" activeCell="F3" sqref="E3:F7"/>
    </sheetView>
  </sheetViews>
  <sheetFormatPr defaultColWidth="8.7109375" defaultRowHeight="15"/>
  <cols>
    <col min="1" max="1" width="6" customWidth="1"/>
    <col min="2" max="2" width="16" customWidth="1"/>
    <col min="3" max="3" width="20" customWidth="1"/>
    <col min="4" max="4" width="10" customWidth="1"/>
    <col min="5" max="5" width="22" customWidth="1"/>
    <col min="6" max="6" width="26" customWidth="1"/>
    <col min="7" max="7" width="11" customWidth="1"/>
    <col min="8" max="8" width="20" customWidth="1"/>
    <col min="9" max="9" width="11" customWidth="1"/>
    <col min="10" max="10" width="12" customWidth="1"/>
    <col min="11" max="13" width="11" customWidth="1"/>
  </cols>
  <sheetData>
    <row r="1" spans="1:13" ht="15.75">
      <c r="A1" s="77" t="s">
        <v>252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39.75" customHeight="1">
      <c r="A2" s="13" t="s">
        <v>197</v>
      </c>
      <c r="B2" s="13" t="s">
        <v>60</v>
      </c>
      <c r="C2" s="13" t="s">
        <v>198</v>
      </c>
      <c r="D2" s="13" t="s">
        <v>253</v>
      </c>
      <c r="E2" s="13" t="s">
        <v>254</v>
      </c>
      <c r="F2" s="13" t="s">
        <v>255</v>
      </c>
      <c r="G2" s="13" t="s">
        <v>256</v>
      </c>
      <c r="H2" s="13" t="s">
        <v>257</v>
      </c>
      <c r="I2" s="13" t="s">
        <v>258</v>
      </c>
      <c r="J2" s="13" t="s">
        <v>205</v>
      </c>
      <c r="K2" s="13" t="s">
        <v>203</v>
      </c>
      <c r="L2" s="13" t="s">
        <v>204</v>
      </c>
      <c r="M2" s="13" t="s">
        <v>259</v>
      </c>
    </row>
    <row r="3" spans="1:13" ht="30" customHeight="1">
      <c r="A3" s="7">
        <v>1</v>
      </c>
      <c r="B3" s="8" t="s">
        <v>132</v>
      </c>
      <c r="C3" s="8" t="s">
        <v>206</v>
      </c>
      <c r="D3" s="8" t="s">
        <v>260</v>
      </c>
      <c r="E3" s="8" t="s">
        <v>261</v>
      </c>
      <c r="F3" s="8" t="s">
        <v>262</v>
      </c>
      <c r="G3" s="8" t="s">
        <v>263</v>
      </c>
      <c r="H3" s="9" t="s">
        <v>264</v>
      </c>
      <c r="I3" s="8" t="s">
        <v>265</v>
      </c>
      <c r="J3" s="8" t="s">
        <v>129</v>
      </c>
      <c r="K3" s="8" t="s">
        <v>228</v>
      </c>
      <c r="L3" s="8" t="s">
        <v>266</v>
      </c>
      <c r="M3" s="10">
        <v>46172</v>
      </c>
    </row>
    <row r="4" spans="1:13" ht="30" customHeight="1">
      <c r="A4" s="7">
        <v>2</v>
      </c>
      <c r="B4" s="8" t="s">
        <v>132</v>
      </c>
      <c r="C4" s="8" t="s">
        <v>206</v>
      </c>
      <c r="D4" s="8" t="s">
        <v>260</v>
      </c>
      <c r="E4" s="8" t="s">
        <v>267</v>
      </c>
      <c r="F4" s="8" t="s">
        <v>268</v>
      </c>
      <c r="G4" s="8" t="s">
        <v>263</v>
      </c>
      <c r="H4" s="9" t="s">
        <v>269</v>
      </c>
      <c r="I4" s="8" t="s">
        <v>265</v>
      </c>
      <c r="J4" s="8" t="s">
        <v>129</v>
      </c>
      <c r="K4" s="8" t="s">
        <v>228</v>
      </c>
      <c r="L4" s="8" t="s">
        <v>211</v>
      </c>
      <c r="M4" s="10">
        <v>46172</v>
      </c>
    </row>
    <row r="5" spans="1:13" ht="30" customHeight="1">
      <c r="A5" s="7">
        <v>3</v>
      </c>
      <c r="B5" s="8" t="s">
        <v>132</v>
      </c>
      <c r="C5" s="8" t="s">
        <v>206</v>
      </c>
      <c r="D5" s="8" t="s">
        <v>260</v>
      </c>
      <c r="E5" s="8" t="s">
        <v>270</v>
      </c>
      <c r="F5" s="8" t="s">
        <v>271</v>
      </c>
      <c r="G5" s="8" t="s">
        <v>263</v>
      </c>
      <c r="H5" s="9" t="s">
        <v>272</v>
      </c>
      <c r="I5" s="8" t="s">
        <v>265</v>
      </c>
      <c r="J5" s="8" t="s">
        <v>129</v>
      </c>
      <c r="K5" s="8" t="s">
        <v>228</v>
      </c>
      <c r="L5" s="8" t="s">
        <v>266</v>
      </c>
      <c r="M5" s="10">
        <v>46173</v>
      </c>
    </row>
    <row r="6" spans="1:13" ht="30" customHeight="1">
      <c r="A6" s="7">
        <v>4</v>
      </c>
      <c r="B6" s="8" t="s">
        <v>132</v>
      </c>
      <c r="C6" s="8" t="s">
        <v>206</v>
      </c>
      <c r="D6" s="8" t="s">
        <v>260</v>
      </c>
      <c r="E6" s="8" t="s">
        <v>273</v>
      </c>
      <c r="F6" s="8" t="s">
        <v>274</v>
      </c>
      <c r="G6" s="8" t="s">
        <v>263</v>
      </c>
      <c r="H6" s="9" t="s">
        <v>275</v>
      </c>
      <c r="I6" s="8" t="s">
        <v>265</v>
      </c>
      <c r="J6" s="8" t="s">
        <v>276</v>
      </c>
      <c r="K6" s="8" t="s">
        <v>228</v>
      </c>
      <c r="L6" s="8"/>
      <c r="M6" s="10"/>
    </row>
    <row r="7" spans="1:13" ht="30" customHeight="1">
      <c r="A7" s="7">
        <v>5</v>
      </c>
      <c r="B7" s="8" t="s">
        <v>132</v>
      </c>
      <c r="C7" s="8" t="s">
        <v>206</v>
      </c>
      <c r="D7" s="8" t="s">
        <v>260</v>
      </c>
      <c r="E7" s="8" t="s">
        <v>277</v>
      </c>
      <c r="F7" s="8" t="s">
        <v>278</v>
      </c>
      <c r="G7" s="8" t="s">
        <v>263</v>
      </c>
      <c r="H7" s="9" t="s">
        <v>279</v>
      </c>
      <c r="I7" s="8" t="s">
        <v>265</v>
      </c>
      <c r="J7" s="8" t="s">
        <v>129</v>
      </c>
      <c r="K7" s="8" t="s">
        <v>228</v>
      </c>
      <c r="L7" s="8" t="s">
        <v>211</v>
      </c>
      <c r="M7" s="10">
        <v>46173</v>
      </c>
    </row>
    <row r="8" spans="1:1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2"/>
    </row>
    <row r="9" spans="1:1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</row>
    <row r="10" spans="1:1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</row>
    <row r="11" spans="1:1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</row>
    <row r="12" spans="1:1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2"/>
    </row>
    <row r="13" spans="1: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</row>
    <row r="14" spans="1:1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2"/>
    </row>
    <row r="15" spans="1:1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</row>
    <row r="16" spans="1:1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2"/>
    </row>
    <row r="17" spans="1:1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</row>
    <row r="18" spans="1:1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2"/>
    </row>
    <row r="19" spans="1:1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/>
    </row>
    <row r="20" spans="1:1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2"/>
    </row>
    <row r="21" spans="1:1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2"/>
    </row>
    <row r="22" spans="1:1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"/>
    </row>
    <row r="23" spans="1:1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2"/>
    </row>
    <row r="24" spans="1:1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2"/>
    </row>
    <row r="25" spans="1:1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2"/>
    </row>
    <row r="26" spans="1:1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2"/>
    </row>
    <row r="27" spans="1:1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2"/>
    </row>
    <row r="28" spans="1:1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2"/>
    </row>
    <row r="29" spans="1:1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2"/>
    </row>
    <row r="30" spans="1:1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2"/>
    </row>
    <row r="31" spans="1:1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2"/>
    </row>
    <row r="32" spans="1:1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2"/>
    </row>
  </sheetData>
  <mergeCells count="1">
    <mergeCell ref="A1:M1"/>
  </mergeCells>
  <hyperlinks>
    <hyperlink ref="H3" r:id="rId1" xr:uid="{00000000-0004-0000-0300-000000000000}"/>
    <hyperlink ref="H4" r:id="rId2" xr:uid="{00000000-0004-0000-0300-000001000000}"/>
    <hyperlink ref="H5" r:id="rId3" xr:uid="{00000000-0004-0000-0300-000002000000}"/>
    <hyperlink ref="H6" r:id="rId4" xr:uid="{00000000-0004-0000-0300-000003000000}"/>
    <hyperlink ref="H7" r:id="rId5" xr:uid="{00000000-0004-0000-0300-000004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'DM_Danh muc'!$P$3:$P$7</xm:f>
          </x14:formula1>
          <x14:formula2>
            <xm:f>0</xm:f>
          </x14:formula2>
          <xm:sqref>E3:E32</xm:sqref>
        </x14:dataValidation>
        <x14:dataValidation type="list" allowBlank="1" xr:uid="{00000000-0002-0000-0300-000001000000}">
          <x14:formula1>
            <xm:f>'DM_Danh muc'!$T$3:$T$4</xm:f>
          </x14:formula1>
          <x14:formula2>
            <xm:f>0</xm:f>
          </x14:formula2>
          <xm:sqref>G3:G32</xm:sqref>
        </x14:dataValidation>
        <x14:dataValidation type="list" allowBlank="1" xr:uid="{00000000-0002-0000-0300-000002000000}">
          <x14:formula1>
            <xm:f>'DM_Danh muc'!$L$3:$L$7</xm:f>
          </x14:formula1>
          <x14:formula2>
            <xm:f>0</xm:f>
          </x14:formula2>
          <xm:sqref>I3:J32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Q29"/>
  <sheetViews>
    <sheetView zoomScale="85" zoomScaleNormal="85" workbookViewId="0">
      <pane ySplit="2" topLeftCell="A3" activePane="bottomLeft" state="frozen"/>
      <selection pane="bottomLeft" activeCell="G4" sqref="G4"/>
    </sheetView>
  </sheetViews>
  <sheetFormatPr defaultColWidth="8.7109375" defaultRowHeight="15"/>
  <cols>
    <col min="1" max="1" width="6" customWidth="1"/>
    <col min="2" max="2" width="13" customWidth="1"/>
    <col min="3" max="3" width="15" customWidth="1"/>
    <col min="4" max="4" width="18" customWidth="1"/>
    <col min="5" max="5" width="11" customWidth="1"/>
    <col min="6" max="6" width="16" customWidth="1"/>
    <col min="7" max="7" width="24" customWidth="1"/>
    <col min="8" max="8" width="18" customWidth="1"/>
    <col min="9" max="9" width="20" customWidth="1"/>
    <col min="10" max="11" width="10" customWidth="1"/>
    <col min="12" max="12" width="18" customWidth="1"/>
    <col min="13" max="13" width="12" customWidth="1"/>
    <col min="14" max="15" width="11" customWidth="1"/>
    <col min="16" max="16" width="24" customWidth="1"/>
    <col min="17" max="17" width="14" customWidth="1"/>
  </cols>
  <sheetData>
    <row r="1" spans="1:17" ht="15.75">
      <c r="A1" s="77" t="s">
        <v>280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</row>
    <row r="2" spans="1:17" ht="39.75" customHeight="1">
      <c r="A2" s="14" t="s">
        <v>197</v>
      </c>
      <c r="B2" s="14" t="s">
        <v>281</v>
      </c>
      <c r="C2" s="14" t="s">
        <v>60</v>
      </c>
      <c r="D2" s="14" t="s">
        <v>198</v>
      </c>
      <c r="E2" s="14" t="s">
        <v>282</v>
      </c>
      <c r="F2" s="14" t="s">
        <v>283</v>
      </c>
      <c r="G2" s="14" t="s">
        <v>284</v>
      </c>
      <c r="H2" s="14" t="s">
        <v>285</v>
      </c>
      <c r="I2" s="14" t="s">
        <v>286</v>
      </c>
      <c r="J2" s="14" t="s">
        <v>287</v>
      </c>
      <c r="K2" s="14" t="s">
        <v>288</v>
      </c>
      <c r="L2" s="14" t="s">
        <v>289</v>
      </c>
      <c r="M2" s="14" t="s">
        <v>205</v>
      </c>
      <c r="N2" s="14" t="s">
        <v>204</v>
      </c>
      <c r="O2" s="14" t="s">
        <v>259</v>
      </c>
      <c r="P2" s="14" t="s">
        <v>290</v>
      </c>
      <c r="Q2" s="14" t="s">
        <v>291</v>
      </c>
    </row>
    <row r="3" spans="1:17" ht="30" customHeight="1">
      <c r="A3" s="7">
        <v>1</v>
      </c>
      <c r="B3" s="8" t="s">
        <v>292</v>
      </c>
      <c r="C3" s="8" t="s">
        <v>132</v>
      </c>
      <c r="D3" s="8" t="s">
        <v>293</v>
      </c>
      <c r="E3" s="10">
        <v>46185</v>
      </c>
      <c r="F3" s="8" t="s">
        <v>294</v>
      </c>
      <c r="G3" s="8" t="s">
        <v>295</v>
      </c>
      <c r="H3" s="8" t="s">
        <v>296</v>
      </c>
      <c r="I3" s="8" t="s">
        <v>297</v>
      </c>
      <c r="J3" s="15">
        <v>0.8</v>
      </c>
      <c r="K3" s="15">
        <v>5</v>
      </c>
      <c r="L3" s="9" t="s">
        <v>298</v>
      </c>
      <c r="M3" s="8" t="s">
        <v>276</v>
      </c>
      <c r="N3" s="8"/>
      <c r="O3" s="10"/>
      <c r="P3" s="8" t="s">
        <v>299</v>
      </c>
      <c r="Q3" s="8"/>
    </row>
    <row r="4" spans="1:17" ht="30" customHeight="1">
      <c r="A4" s="7">
        <v>2</v>
      </c>
      <c r="B4" s="8" t="s">
        <v>300</v>
      </c>
      <c r="C4" s="8" t="s">
        <v>132</v>
      </c>
      <c r="D4" s="8" t="s">
        <v>301</v>
      </c>
      <c r="E4" s="10">
        <v>46188</v>
      </c>
      <c r="F4" s="8" t="s">
        <v>302</v>
      </c>
      <c r="G4" s="8" t="s">
        <v>303</v>
      </c>
      <c r="H4" s="8" t="s">
        <v>304</v>
      </c>
      <c r="I4" s="8" t="s">
        <v>305</v>
      </c>
      <c r="J4" s="15">
        <v>0</v>
      </c>
      <c r="K4" s="15">
        <v>0</v>
      </c>
      <c r="L4" s="9" t="s">
        <v>306</v>
      </c>
      <c r="M4" s="8" t="s">
        <v>129</v>
      </c>
      <c r="N4" s="8" t="s">
        <v>210</v>
      </c>
      <c r="O4" s="10">
        <v>46190</v>
      </c>
      <c r="P4" s="8" t="s">
        <v>307</v>
      </c>
      <c r="Q4" s="8"/>
    </row>
    <row r="5" spans="1:17">
      <c r="A5" s="11"/>
      <c r="B5" s="11"/>
      <c r="C5" s="11"/>
      <c r="D5" s="11"/>
      <c r="E5" s="12"/>
      <c r="F5" s="11"/>
      <c r="G5" s="11"/>
      <c r="H5" s="11"/>
      <c r="I5" s="11"/>
      <c r="J5" s="16"/>
      <c r="K5" s="16"/>
      <c r="L5" s="11"/>
      <c r="M5" s="11"/>
      <c r="N5" s="11"/>
      <c r="O5" s="12"/>
      <c r="P5" s="11"/>
      <c r="Q5" s="11"/>
    </row>
    <row r="6" spans="1:17">
      <c r="A6" s="11"/>
      <c r="B6" s="11"/>
      <c r="C6" s="11"/>
      <c r="D6" s="11"/>
      <c r="E6" s="12"/>
      <c r="F6" s="11"/>
      <c r="G6" s="11"/>
      <c r="H6" s="11"/>
      <c r="I6" s="11"/>
      <c r="J6" s="16"/>
      <c r="K6" s="16"/>
      <c r="L6" s="11"/>
      <c r="M6" s="11"/>
      <c r="N6" s="11"/>
      <c r="O6" s="12"/>
      <c r="P6" s="11"/>
      <c r="Q6" s="11"/>
    </row>
    <row r="7" spans="1:17">
      <c r="A7" s="11"/>
      <c r="B7" s="11"/>
      <c r="C7" s="11"/>
      <c r="D7" s="11"/>
      <c r="E7" s="12"/>
      <c r="F7" s="11"/>
      <c r="G7" s="11"/>
      <c r="H7" s="11"/>
      <c r="I7" s="11"/>
      <c r="J7" s="16"/>
      <c r="K7" s="16"/>
      <c r="L7" s="11"/>
      <c r="M7" s="11"/>
      <c r="N7" s="11"/>
      <c r="O7" s="12"/>
      <c r="P7" s="11"/>
      <c r="Q7" s="11"/>
    </row>
    <row r="8" spans="1:17">
      <c r="A8" s="11"/>
      <c r="B8" s="11"/>
      <c r="C8" s="11"/>
      <c r="D8" s="11"/>
      <c r="E8" s="12"/>
      <c r="F8" s="11"/>
      <c r="G8" s="11"/>
      <c r="H8" s="11"/>
      <c r="I8" s="11"/>
      <c r="J8" s="16"/>
      <c r="K8" s="16"/>
      <c r="L8" s="11"/>
      <c r="M8" s="11"/>
      <c r="N8" s="11"/>
      <c r="O8" s="12"/>
      <c r="P8" s="11"/>
      <c r="Q8" s="11"/>
    </row>
    <row r="9" spans="1:17">
      <c r="A9" s="11"/>
      <c r="B9" s="11"/>
      <c r="C9" s="11"/>
      <c r="D9" s="11"/>
      <c r="E9" s="12"/>
      <c r="F9" s="11"/>
      <c r="G9" s="11"/>
      <c r="H9" s="11"/>
      <c r="I9" s="11"/>
      <c r="J9" s="16"/>
      <c r="K9" s="16"/>
      <c r="L9" s="11"/>
      <c r="M9" s="11"/>
      <c r="N9" s="11"/>
      <c r="O9" s="12"/>
      <c r="P9" s="11"/>
      <c r="Q9" s="11"/>
    </row>
    <row r="10" spans="1:17">
      <c r="A10" s="11"/>
      <c r="B10" s="11"/>
      <c r="C10" s="11"/>
      <c r="D10" s="11"/>
      <c r="E10" s="12"/>
      <c r="F10" s="11"/>
      <c r="G10" s="11"/>
      <c r="H10" s="11"/>
      <c r="I10" s="11"/>
      <c r="J10" s="16"/>
      <c r="K10" s="16"/>
      <c r="L10" s="11"/>
      <c r="M10" s="11"/>
      <c r="N10" s="11"/>
      <c r="O10" s="12"/>
      <c r="P10" s="11"/>
      <c r="Q10" s="11"/>
    </row>
    <row r="11" spans="1:17">
      <c r="A11" s="11"/>
      <c r="B11" s="11"/>
      <c r="C11" s="11"/>
      <c r="D11" s="11"/>
      <c r="E11" s="12"/>
      <c r="F11" s="11"/>
      <c r="G11" s="11"/>
      <c r="H11" s="11"/>
      <c r="I11" s="11"/>
      <c r="J11" s="16"/>
      <c r="K11" s="16"/>
      <c r="L11" s="11"/>
      <c r="M11" s="11"/>
      <c r="N11" s="11"/>
      <c r="O11" s="12"/>
      <c r="P11" s="11"/>
      <c r="Q11" s="11"/>
    </row>
    <row r="12" spans="1:17">
      <c r="A12" s="11"/>
      <c r="B12" s="11"/>
      <c r="C12" s="11"/>
      <c r="D12" s="11"/>
      <c r="E12" s="12"/>
      <c r="F12" s="11"/>
      <c r="G12" s="11"/>
      <c r="H12" s="11"/>
      <c r="I12" s="11"/>
      <c r="J12" s="16"/>
      <c r="K12" s="16"/>
      <c r="L12" s="11"/>
      <c r="M12" s="11"/>
      <c r="N12" s="11"/>
      <c r="O12" s="12"/>
      <c r="P12" s="11"/>
      <c r="Q12" s="11"/>
    </row>
    <row r="13" spans="1:17">
      <c r="A13" s="11"/>
      <c r="B13" s="11"/>
      <c r="C13" s="11"/>
      <c r="D13" s="11"/>
      <c r="E13" s="12"/>
      <c r="F13" s="11"/>
      <c r="G13" s="11"/>
      <c r="H13" s="11"/>
      <c r="I13" s="11"/>
      <c r="J13" s="16"/>
      <c r="K13" s="16"/>
      <c r="L13" s="11"/>
      <c r="M13" s="11"/>
      <c r="N13" s="11"/>
      <c r="O13" s="12"/>
      <c r="P13" s="11"/>
      <c r="Q13" s="11"/>
    </row>
    <row r="14" spans="1:17">
      <c r="A14" s="11"/>
      <c r="B14" s="11"/>
      <c r="C14" s="11"/>
      <c r="D14" s="11"/>
      <c r="E14" s="12"/>
      <c r="F14" s="11"/>
      <c r="G14" s="11"/>
      <c r="H14" s="11"/>
      <c r="I14" s="11"/>
      <c r="J14" s="16"/>
      <c r="K14" s="16"/>
      <c r="L14" s="11"/>
      <c r="M14" s="11"/>
      <c r="N14" s="11"/>
      <c r="O14" s="12"/>
      <c r="P14" s="11"/>
      <c r="Q14" s="11"/>
    </row>
    <row r="15" spans="1:17">
      <c r="A15" s="11"/>
      <c r="B15" s="11"/>
      <c r="C15" s="11"/>
      <c r="D15" s="11"/>
      <c r="E15" s="12"/>
      <c r="F15" s="11"/>
      <c r="G15" s="11"/>
      <c r="H15" s="11"/>
      <c r="I15" s="11"/>
      <c r="J15" s="16"/>
      <c r="K15" s="16"/>
      <c r="L15" s="11"/>
      <c r="M15" s="11"/>
      <c r="N15" s="11"/>
      <c r="O15" s="12"/>
      <c r="P15" s="11"/>
      <c r="Q15" s="11"/>
    </row>
    <row r="16" spans="1:17">
      <c r="A16" s="11"/>
      <c r="B16" s="11"/>
      <c r="C16" s="11"/>
      <c r="D16" s="11"/>
      <c r="E16" s="12"/>
      <c r="F16" s="11"/>
      <c r="G16" s="11"/>
      <c r="H16" s="11"/>
      <c r="I16" s="11"/>
      <c r="J16" s="16"/>
      <c r="K16" s="16"/>
      <c r="L16" s="11"/>
      <c r="M16" s="11"/>
      <c r="N16" s="11"/>
      <c r="O16" s="12"/>
      <c r="P16" s="11"/>
      <c r="Q16" s="11"/>
    </row>
    <row r="17" spans="1:17">
      <c r="A17" s="11"/>
      <c r="B17" s="11"/>
      <c r="C17" s="11"/>
      <c r="D17" s="11"/>
      <c r="E17" s="12"/>
      <c r="F17" s="11"/>
      <c r="G17" s="11"/>
      <c r="H17" s="11"/>
      <c r="I17" s="11"/>
      <c r="J17" s="16"/>
      <c r="K17" s="16"/>
      <c r="L17" s="11"/>
      <c r="M17" s="11"/>
      <c r="N17" s="11"/>
      <c r="O17" s="12"/>
      <c r="P17" s="11"/>
      <c r="Q17" s="11"/>
    </row>
    <row r="18" spans="1:17">
      <c r="A18" s="11"/>
      <c r="B18" s="11"/>
      <c r="C18" s="11"/>
      <c r="D18" s="11"/>
      <c r="E18" s="12"/>
      <c r="F18" s="11"/>
      <c r="G18" s="11"/>
      <c r="H18" s="11"/>
      <c r="I18" s="11"/>
      <c r="J18" s="16"/>
      <c r="K18" s="16"/>
      <c r="L18" s="11"/>
      <c r="M18" s="11"/>
      <c r="N18" s="11"/>
      <c r="O18" s="12"/>
      <c r="P18" s="11"/>
      <c r="Q18" s="11"/>
    </row>
    <row r="19" spans="1:17">
      <c r="A19" s="11"/>
      <c r="B19" s="11"/>
      <c r="C19" s="11"/>
      <c r="D19" s="11"/>
      <c r="E19" s="12"/>
      <c r="F19" s="11"/>
      <c r="G19" s="11"/>
      <c r="H19" s="11"/>
      <c r="I19" s="11"/>
      <c r="J19" s="16"/>
      <c r="K19" s="16"/>
      <c r="L19" s="11"/>
      <c r="M19" s="11"/>
      <c r="N19" s="11"/>
      <c r="O19" s="12"/>
      <c r="P19" s="11"/>
      <c r="Q19" s="11"/>
    </row>
    <row r="20" spans="1:17">
      <c r="A20" s="11"/>
      <c r="B20" s="11"/>
      <c r="C20" s="11"/>
      <c r="D20" s="11"/>
      <c r="E20" s="12"/>
      <c r="F20" s="11"/>
      <c r="G20" s="11"/>
      <c r="H20" s="11"/>
      <c r="I20" s="11"/>
      <c r="J20" s="16"/>
      <c r="K20" s="16"/>
      <c r="L20" s="11"/>
      <c r="M20" s="11"/>
      <c r="N20" s="11"/>
      <c r="O20" s="12"/>
      <c r="P20" s="11"/>
      <c r="Q20" s="11"/>
    </row>
    <row r="21" spans="1:17">
      <c r="A21" s="11"/>
      <c r="B21" s="11"/>
      <c r="C21" s="11"/>
      <c r="D21" s="11"/>
      <c r="E21" s="12"/>
      <c r="F21" s="11"/>
      <c r="G21" s="11"/>
      <c r="H21" s="11"/>
      <c r="I21" s="11"/>
      <c r="J21" s="16"/>
      <c r="K21" s="16"/>
      <c r="L21" s="11"/>
      <c r="M21" s="11"/>
      <c r="N21" s="11"/>
      <c r="O21" s="12"/>
      <c r="P21" s="11"/>
      <c r="Q21" s="11"/>
    </row>
    <row r="22" spans="1:17">
      <c r="A22" s="11"/>
      <c r="B22" s="11"/>
      <c r="C22" s="11"/>
      <c r="D22" s="11"/>
      <c r="E22" s="12"/>
      <c r="F22" s="11"/>
      <c r="G22" s="11"/>
      <c r="H22" s="11"/>
      <c r="I22" s="11"/>
      <c r="J22" s="16"/>
      <c r="K22" s="16"/>
      <c r="L22" s="11"/>
      <c r="M22" s="11"/>
      <c r="N22" s="11"/>
      <c r="O22" s="12"/>
      <c r="P22" s="11"/>
      <c r="Q22" s="11"/>
    </row>
    <row r="23" spans="1:17">
      <c r="A23" s="11"/>
      <c r="B23" s="11"/>
      <c r="C23" s="11"/>
      <c r="D23" s="11"/>
      <c r="E23" s="12"/>
      <c r="F23" s="11"/>
      <c r="G23" s="11"/>
      <c r="H23" s="11"/>
      <c r="I23" s="11"/>
      <c r="J23" s="16"/>
      <c r="K23" s="16"/>
      <c r="L23" s="11"/>
      <c r="M23" s="11"/>
      <c r="N23" s="11"/>
      <c r="O23" s="12"/>
      <c r="P23" s="11"/>
      <c r="Q23" s="11"/>
    </row>
    <row r="24" spans="1:17">
      <c r="A24" s="11"/>
      <c r="B24" s="11"/>
      <c r="C24" s="11"/>
      <c r="D24" s="11"/>
      <c r="E24" s="12"/>
      <c r="F24" s="11"/>
      <c r="G24" s="11"/>
      <c r="H24" s="11"/>
      <c r="I24" s="11"/>
      <c r="J24" s="16"/>
      <c r="K24" s="16"/>
      <c r="L24" s="11"/>
      <c r="M24" s="11"/>
      <c r="N24" s="11"/>
      <c r="O24" s="12"/>
      <c r="P24" s="11"/>
      <c r="Q24" s="11"/>
    </row>
    <row r="25" spans="1:17">
      <c r="A25" s="11"/>
      <c r="B25" s="11"/>
      <c r="C25" s="11"/>
      <c r="D25" s="11"/>
      <c r="E25" s="12"/>
      <c r="F25" s="11"/>
      <c r="G25" s="11"/>
      <c r="H25" s="11"/>
      <c r="I25" s="11"/>
      <c r="J25" s="16"/>
      <c r="K25" s="16"/>
      <c r="L25" s="11"/>
      <c r="M25" s="11"/>
      <c r="N25" s="11"/>
      <c r="O25" s="12"/>
      <c r="P25" s="11"/>
      <c r="Q25" s="11"/>
    </row>
    <row r="26" spans="1:17">
      <c r="A26" s="11"/>
      <c r="B26" s="11"/>
      <c r="C26" s="11"/>
      <c r="D26" s="11"/>
      <c r="E26" s="12"/>
      <c r="F26" s="11"/>
      <c r="G26" s="11"/>
      <c r="H26" s="11"/>
      <c r="I26" s="11"/>
      <c r="J26" s="16"/>
      <c r="K26" s="16"/>
      <c r="L26" s="11"/>
      <c r="M26" s="11"/>
      <c r="N26" s="11"/>
      <c r="O26" s="12"/>
      <c r="P26" s="11"/>
      <c r="Q26" s="11"/>
    </row>
    <row r="27" spans="1:17">
      <c r="A27" s="11"/>
      <c r="B27" s="11"/>
      <c r="C27" s="11"/>
      <c r="D27" s="11"/>
      <c r="E27" s="12"/>
      <c r="F27" s="11"/>
      <c r="G27" s="11"/>
      <c r="H27" s="11"/>
      <c r="I27" s="11"/>
      <c r="J27" s="16"/>
      <c r="K27" s="16"/>
      <c r="L27" s="11"/>
      <c r="M27" s="11"/>
      <c r="N27" s="11"/>
      <c r="O27" s="12"/>
      <c r="P27" s="11"/>
      <c r="Q27" s="11"/>
    </row>
    <row r="28" spans="1:17">
      <c r="A28" s="11"/>
      <c r="B28" s="11"/>
      <c r="C28" s="11"/>
      <c r="D28" s="11"/>
      <c r="E28" s="12"/>
      <c r="F28" s="11"/>
      <c r="G28" s="11"/>
      <c r="H28" s="11"/>
      <c r="I28" s="11"/>
      <c r="J28" s="16"/>
      <c r="K28" s="16"/>
      <c r="L28" s="11"/>
      <c r="M28" s="11"/>
      <c r="N28" s="11"/>
      <c r="O28" s="12"/>
      <c r="P28" s="11"/>
      <c r="Q28" s="11"/>
    </row>
    <row r="29" spans="1:17">
      <c r="A29" s="11"/>
      <c r="B29" s="11"/>
      <c r="C29" s="11"/>
      <c r="D29" s="11"/>
      <c r="E29" s="12"/>
      <c r="F29" s="11"/>
      <c r="G29" s="11"/>
      <c r="H29" s="11"/>
      <c r="I29" s="11"/>
      <c r="J29" s="16"/>
      <c r="K29" s="16"/>
      <c r="L29" s="11"/>
      <c r="M29" s="11"/>
      <c r="N29" s="11"/>
      <c r="O29" s="12"/>
      <c r="P29" s="11"/>
      <c r="Q29" s="11"/>
    </row>
  </sheetData>
  <mergeCells count="1">
    <mergeCell ref="A1:Q1"/>
  </mergeCells>
  <hyperlinks>
    <hyperlink ref="L3" r:id="rId1" xr:uid="{00000000-0004-0000-0400-000000000000}"/>
    <hyperlink ref="L4" r:id="rId2" xr:uid="{00000000-0004-0000-0400-000001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'DM_Danh muc'!$Q$3:$Q$7</xm:f>
          </x14:formula1>
          <x14:formula2>
            <xm:f>0</xm:f>
          </x14:formula2>
          <xm:sqref>F3:F29</xm:sqref>
        </x14:dataValidation>
        <x14:dataValidation type="list" allowBlank="1" xr:uid="{00000000-0002-0000-0400-000001000000}">
          <x14:formula1>
            <xm:f>'DM_Danh muc'!$L$3:$L$7</xm:f>
          </x14:formula1>
          <x14:formula2>
            <xm:f>0</xm:f>
          </x14:formula2>
          <xm:sqref>M3:M29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R29"/>
  <sheetViews>
    <sheetView zoomScale="85" zoomScaleNormal="85" workbookViewId="0">
      <pane ySplit="2" topLeftCell="A3" activePane="bottomLeft" state="frozen"/>
      <selection pane="bottomLeft" activeCell="J8" sqref="J8"/>
    </sheetView>
  </sheetViews>
  <sheetFormatPr defaultColWidth="8.7109375" defaultRowHeight="15"/>
  <cols>
    <col min="1" max="1" width="6" customWidth="1"/>
    <col min="2" max="2" width="13" customWidth="1"/>
    <col min="3" max="3" width="15" customWidth="1"/>
    <col min="4" max="4" width="16" customWidth="1"/>
    <col min="5" max="6" width="11" customWidth="1"/>
    <col min="7" max="7" width="20" customWidth="1"/>
    <col min="8" max="8" width="22" customWidth="1"/>
    <col min="9" max="9" width="8" customWidth="1"/>
    <col min="10" max="10" width="7" customWidth="1"/>
    <col min="11" max="11" width="10" customWidth="1"/>
    <col min="12" max="12" width="13" customWidth="1"/>
    <col min="13" max="13" width="16" customWidth="1"/>
    <col min="14" max="14" width="12" customWidth="1"/>
    <col min="15" max="16" width="11" customWidth="1"/>
    <col min="17" max="17" width="13" customWidth="1"/>
    <col min="18" max="18" width="12" customWidth="1"/>
  </cols>
  <sheetData>
    <row r="1" spans="1:18" ht="15.75">
      <c r="A1" s="77" t="s">
        <v>308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18" ht="39.75" customHeight="1">
      <c r="A2" s="5" t="s">
        <v>197</v>
      </c>
      <c r="B2" s="5" t="s">
        <v>309</v>
      </c>
      <c r="C2" s="5" t="s">
        <v>60</v>
      </c>
      <c r="D2" s="5" t="s">
        <v>198</v>
      </c>
      <c r="E2" s="5" t="s">
        <v>310</v>
      </c>
      <c r="F2" s="5" t="s">
        <v>311</v>
      </c>
      <c r="G2" s="5" t="s">
        <v>312</v>
      </c>
      <c r="H2" s="5" t="s">
        <v>313</v>
      </c>
      <c r="I2" s="5" t="s">
        <v>314</v>
      </c>
      <c r="J2" s="5" t="s">
        <v>315</v>
      </c>
      <c r="K2" s="5" t="s">
        <v>287</v>
      </c>
      <c r="L2" s="5" t="s">
        <v>316</v>
      </c>
      <c r="M2" s="5" t="s">
        <v>289</v>
      </c>
      <c r="N2" s="5" t="s">
        <v>205</v>
      </c>
      <c r="O2" s="5" t="s">
        <v>204</v>
      </c>
      <c r="P2" s="5" t="s">
        <v>317</v>
      </c>
      <c r="Q2" s="5" t="s">
        <v>318</v>
      </c>
      <c r="R2" s="5" t="s">
        <v>291</v>
      </c>
    </row>
    <row r="3" spans="1:18" ht="30" customHeight="1">
      <c r="A3" s="7">
        <v>1</v>
      </c>
      <c r="B3" s="8" t="s">
        <v>319</v>
      </c>
      <c r="C3" s="8" t="s">
        <v>132</v>
      </c>
      <c r="D3" s="8" t="s">
        <v>320</v>
      </c>
      <c r="E3" s="10">
        <v>46187</v>
      </c>
      <c r="F3" s="8" t="s">
        <v>321</v>
      </c>
      <c r="G3" s="8" t="s">
        <v>322</v>
      </c>
      <c r="H3" s="8" t="s">
        <v>323</v>
      </c>
      <c r="I3" s="8">
        <v>120</v>
      </c>
      <c r="J3" s="8" t="s">
        <v>324</v>
      </c>
      <c r="K3" s="15">
        <v>1.2</v>
      </c>
      <c r="L3" s="8" t="s">
        <v>325</v>
      </c>
      <c r="M3" s="9" t="s">
        <v>326</v>
      </c>
      <c r="N3" s="8" t="s">
        <v>276</v>
      </c>
      <c r="O3" s="8"/>
      <c r="P3" s="10">
        <v>46213</v>
      </c>
      <c r="Q3" s="8" t="s">
        <v>327</v>
      </c>
      <c r="R3" s="8"/>
    </row>
    <row r="4" spans="1:18" ht="30" customHeight="1">
      <c r="A4" s="7">
        <v>2</v>
      </c>
      <c r="B4" s="8" t="s">
        <v>328</v>
      </c>
      <c r="C4" s="8" t="s">
        <v>132</v>
      </c>
      <c r="D4" s="8" t="s">
        <v>329</v>
      </c>
      <c r="E4" s="10">
        <v>46183</v>
      </c>
      <c r="F4" s="8" t="s">
        <v>330</v>
      </c>
      <c r="G4" s="8" t="s">
        <v>331</v>
      </c>
      <c r="H4" s="8" t="s">
        <v>332</v>
      </c>
      <c r="I4" s="8">
        <v>1</v>
      </c>
      <c r="J4" s="8" t="s">
        <v>333</v>
      </c>
      <c r="K4" s="15">
        <v>0.05</v>
      </c>
      <c r="L4" s="8" t="s">
        <v>334</v>
      </c>
      <c r="M4" s="9" t="s">
        <v>335</v>
      </c>
      <c r="N4" s="8" t="s">
        <v>129</v>
      </c>
      <c r="O4" s="8" t="s">
        <v>336</v>
      </c>
      <c r="P4" s="10">
        <v>46185</v>
      </c>
      <c r="Q4" s="8" t="s">
        <v>337</v>
      </c>
      <c r="R4" s="8"/>
    </row>
    <row r="5" spans="1:18">
      <c r="A5" s="11"/>
      <c r="B5" s="11"/>
      <c r="C5" s="11"/>
      <c r="D5" s="11"/>
      <c r="E5" s="12"/>
      <c r="F5" s="11"/>
      <c r="G5" s="11"/>
      <c r="H5" s="11"/>
      <c r="I5" s="11"/>
      <c r="J5" s="11"/>
      <c r="K5" s="16"/>
      <c r="L5" s="11"/>
      <c r="M5" s="11"/>
      <c r="N5" s="11"/>
      <c r="O5" s="11"/>
      <c r="P5" s="12"/>
      <c r="Q5" s="11"/>
      <c r="R5" s="11"/>
    </row>
    <row r="6" spans="1:18">
      <c r="A6" s="11"/>
      <c r="B6" s="11"/>
      <c r="C6" s="11"/>
      <c r="D6" s="11"/>
      <c r="E6" s="12"/>
      <c r="F6" s="11"/>
      <c r="G6" s="11"/>
      <c r="H6" s="11"/>
      <c r="I6" s="11"/>
      <c r="J6" s="11"/>
      <c r="K6" s="16"/>
      <c r="L6" s="11"/>
      <c r="M6" s="11"/>
      <c r="N6" s="11"/>
      <c r="O6" s="11"/>
      <c r="P6" s="12"/>
      <c r="Q6" s="11"/>
      <c r="R6" s="11"/>
    </row>
    <row r="7" spans="1:18">
      <c r="A7" s="11"/>
      <c r="B7" s="11"/>
      <c r="C7" s="11"/>
      <c r="D7" s="11"/>
      <c r="E7" s="12"/>
      <c r="F7" s="11"/>
      <c r="G7" s="11"/>
      <c r="H7" s="11"/>
      <c r="I7" s="11"/>
      <c r="J7" s="11"/>
      <c r="K7" s="16"/>
      <c r="L7" s="11"/>
      <c r="M7" s="11"/>
      <c r="N7" s="11"/>
      <c r="O7" s="11"/>
      <c r="P7" s="12"/>
      <c r="Q7" s="11"/>
      <c r="R7" s="11"/>
    </row>
    <row r="8" spans="1:18">
      <c r="A8" s="11"/>
      <c r="B8" s="11"/>
      <c r="C8" s="11"/>
      <c r="D8" s="11"/>
      <c r="E8" s="12"/>
      <c r="F8" s="11"/>
      <c r="G8" s="11"/>
      <c r="H8" s="11"/>
      <c r="I8" s="11"/>
      <c r="J8" s="11"/>
      <c r="K8" s="16"/>
      <c r="L8" s="11"/>
      <c r="M8" s="11"/>
      <c r="N8" s="11"/>
      <c r="O8" s="11"/>
      <c r="P8" s="12"/>
      <c r="Q8" s="11"/>
      <c r="R8" s="11"/>
    </row>
    <row r="9" spans="1:18">
      <c r="A9" s="11"/>
      <c r="B9" s="11"/>
      <c r="C9" s="11"/>
      <c r="D9" s="11"/>
      <c r="E9" s="12"/>
      <c r="F9" s="11"/>
      <c r="G9" s="11"/>
      <c r="H9" s="11"/>
      <c r="I9" s="11"/>
      <c r="J9" s="11"/>
      <c r="K9" s="16"/>
      <c r="L9" s="11"/>
      <c r="M9" s="11"/>
      <c r="N9" s="11"/>
      <c r="O9" s="11"/>
      <c r="P9" s="12"/>
      <c r="Q9" s="11"/>
      <c r="R9" s="11"/>
    </row>
    <row r="10" spans="1:18">
      <c r="A10" s="11"/>
      <c r="B10" s="11"/>
      <c r="C10" s="11"/>
      <c r="D10" s="11"/>
      <c r="E10" s="12"/>
      <c r="F10" s="11"/>
      <c r="G10" s="11"/>
      <c r="H10" s="11"/>
      <c r="I10" s="11"/>
      <c r="J10" s="11"/>
      <c r="K10" s="16"/>
      <c r="L10" s="11"/>
      <c r="M10" s="11"/>
      <c r="N10" s="11"/>
      <c r="O10" s="11"/>
      <c r="P10" s="12"/>
      <c r="Q10" s="11"/>
      <c r="R10" s="11"/>
    </row>
    <row r="11" spans="1:18">
      <c r="A11" s="11"/>
      <c r="B11" s="11"/>
      <c r="C11" s="11"/>
      <c r="D11" s="11"/>
      <c r="E11" s="12"/>
      <c r="F11" s="11"/>
      <c r="G11" s="11"/>
      <c r="H11" s="11"/>
      <c r="I11" s="11"/>
      <c r="J11" s="11"/>
      <c r="K11" s="16"/>
      <c r="L11" s="11"/>
      <c r="M11" s="11"/>
      <c r="N11" s="11"/>
      <c r="O11" s="11"/>
      <c r="P11" s="12"/>
      <c r="Q11" s="11"/>
      <c r="R11" s="11"/>
    </row>
    <row r="12" spans="1:18">
      <c r="A12" s="11"/>
      <c r="B12" s="11"/>
      <c r="C12" s="11"/>
      <c r="D12" s="11"/>
      <c r="E12" s="12"/>
      <c r="F12" s="11"/>
      <c r="G12" s="11"/>
      <c r="H12" s="11"/>
      <c r="I12" s="11"/>
      <c r="J12" s="11"/>
      <c r="K12" s="16"/>
      <c r="L12" s="11"/>
      <c r="M12" s="11"/>
      <c r="N12" s="11"/>
      <c r="O12" s="11"/>
      <c r="P12" s="12"/>
      <c r="Q12" s="11"/>
      <c r="R12" s="11"/>
    </row>
    <row r="13" spans="1:18">
      <c r="A13" s="11"/>
      <c r="B13" s="11"/>
      <c r="C13" s="11"/>
      <c r="D13" s="11"/>
      <c r="E13" s="12"/>
      <c r="F13" s="11"/>
      <c r="G13" s="11"/>
      <c r="H13" s="11"/>
      <c r="I13" s="11"/>
      <c r="J13" s="11"/>
      <c r="K13" s="16"/>
      <c r="L13" s="11"/>
      <c r="M13" s="11"/>
      <c r="N13" s="11"/>
      <c r="O13" s="11"/>
      <c r="P13" s="12"/>
      <c r="Q13" s="11"/>
      <c r="R13" s="11"/>
    </row>
    <row r="14" spans="1:18">
      <c r="A14" s="11"/>
      <c r="B14" s="11"/>
      <c r="C14" s="11"/>
      <c r="D14" s="11"/>
      <c r="E14" s="12"/>
      <c r="F14" s="11"/>
      <c r="G14" s="11"/>
      <c r="H14" s="11"/>
      <c r="I14" s="11"/>
      <c r="J14" s="11"/>
      <c r="K14" s="16"/>
      <c r="L14" s="11"/>
      <c r="M14" s="11"/>
      <c r="N14" s="11"/>
      <c r="O14" s="11"/>
      <c r="P14" s="12"/>
      <c r="Q14" s="11"/>
      <c r="R14" s="11"/>
    </row>
    <row r="15" spans="1:18">
      <c r="A15" s="11"/>
      <c r="B15" s="11"/>
      <c r="C15" s="11"/>
      <c r="D15" s="11"/>
      <c r="E15" s="12"/>
      <c r="F15" s="11"/>
      <c r="G15" s="11"/>
      <c r="H15" s="11"/>
      <c r="I15" s="11"/>
      <c r="J15" s="11"/>
      <c r="K15" s="16"/>
      <c r="L15" s="11"/>
      <c r="M15" s="11"/>
      <c r="N15" s="11"/>
      <c r="O15" s="11"/>
      <c r="P15" s="12"/>
      <c r="Q15" s="11"/>
      <c r="R15" s="11"/>
    </row>
    <row r="16" spans="1:18">
      <c r="A16" s="11"/>
      <c r="B16" s="11"/>
      <c r="C16" s="11"/>
      <c r="D16" s="11"/>
      <c r="E16" s="12"/>
      <c r="F16" s="11"/>
      <c r="G16" s="11"/>
      <c r="H16" s="11"/>
      <c r="I16" s="11"/>
      <c r="J16" s="11"/>
      <c r="K16" s="16"/>
      <c r="L16" s="11"/>
      <c r="M16" s="11"/>
      <c r="N16" s="11"/>
      <c r="O16" s="11"/>
      <c r="P16" s="12"/>
      <c r="Q16" s="11"/>
      <c r="R16" s="11"/>
    </row>
    <row r="17" spans="1:18">
      <c r="A17" s="11"/>
      <c r="B17" s="11"/>
      <c r="C17" s="11"/>
      <c r="D17" s="11"/>
      <c r="E17" s="12"/>
      <c r="F17" s="11"/>
      <c r="G17" s="11"/>
      <c r="H17" s="11"/>
      <c r="I17" s="11"/>
      <c r="J17" s="11"/>
      <c r="K17" s="16"/>
      <c r="L17" s="11"/>
      <c r="M17" s="11"/>
      <c r="N17" s="11"/>
      <c r="O17" s="11"/>
      <c r="P17" s="12"/>
      <c r="Q17" s="11"/>
      <c r="R17" s="11"/>
    </row>
    <row r="18" spans="1:18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6"/>
      <c r="L18" s="11"/>
      <c r="M18" s="11"/>
      <c r="N18" s="11"/>
      <c r="O18" s="11"/>
      <c r="P18" s="12"/>
      <c r="Q18" s="11"/>
      <c r="R18" s="11"/>
    </row>
    <row r="19" spans="1:18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6"/>
      <c r="L19" s="11"/>
      <c r="M19" s="11"/>
      <c r="N19" s="11"/>
      <c r="O19" s="11"/>
      <c r="P19" s="12"/>
      <c r="Q19" s="11"/>
      <c r="R19" s="11"/>
    </row>
    <row r="20" spans="1:18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6"/>
      <c r="L20" s="11"/>
      <c r="M20" s="11"/>
      <c r="N20" s="11"/>
      <c r="O20" s="11"/>
      <c r="P20" s="12"/>
      <c r="Q20" s="11"/>
      <c r="R20" s="11"/>
    </row>
    <row r="21" spans="1:18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6"/>
      <c r="L21" s="11"/>
      <c r="M21" s="11"/>
      <c r="N21" s="11"/>
      <c r="O21" s="11"/>
      <c r="P21" s="12"/>
      <c r="Q21" s="11"/>
      <c r="R21" s="11"/>
    </row>
    <row r="22" spans="1:18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6"/>
      <c r="L22" s="11"/>
      <c r="M22" s="11"/>
      <c r="N22" s="11"/>
      <c r="O22" s="11"/>
      <c r="P22" s="12"/>
      <c r="Q22" s="11"/>
      <c r="R22" s="11"/>
    </row>
    <row r="23" spans="1:18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6"/>
      <c r="L23" s="11"/>
      <c r="M23" s="11"/>
      <c r="N23" s="11"/>
      <c r="O23" s="11"/>
      <c r="P23" s="12"/>
      <c r="Q23" s="11"/>
      <c r="R23" s="11"/>
    </row>
    <row r="24" spans="1:18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6"/>
      <c r="L24" s="11"/>
      <c r="M24" s="11"/>
      <c r="N24" s="11"/>
      <c r="O24" s="11"/>
      <c r="P24" s="12"/>
      <c r="Q24" s="11"/>
      <c r="R24" s="11"/>
    </row>
    <row r="25" spans="1:18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6"/>
      <c r="L25" s="11"/>
      <c r="M25" s="11"/>
      <c r="N25" s="11"/>
      <c r="O25" s="11"/>
      <c r="P25" s="12"/>
      <c r="Q25" s="11"/>
      <c r="R25" s="11"/>
    </row>
    <row r="26" spans="1:18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6"/>
      <c r="L26" s="11"/>
      <c r="M26" s="11"/>
      <c r="N26" s="11"/>
      <c r="O26" s="11"/>
      <c r="P26" s="12"/>
      <c r="Q26" s="11"/>
      <c r="R26" s="11"/>
    </row>
    <row r="27" spans="1:18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6"/>
      <c r="L27" s="11"/>
      <c r="M27" s="11"/>
      <c r="N27" s="11"/>
      <c r="O27" s="11"/>
      <c r="P27" s="12"/>
      <c r="Q27" s="11"/>
      <c r="R27" s="11"/>
    </row>
    <row r="28" spans="1:18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6"/>
      <c r="L28" s="11"/>
      <c r="M28" s="11"/>
      <c r="N28" s="11"/>
      <c r="O28" s="11"/>
      <c r="P28" s="12"/>
      <c r="Q28" s="11"/>
      <c r="R28" s="11"/>
    </row>
    <row r="29" spans="1:18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6"/>
      <c r="L29" s="11"/>
      <c r="M29" s="11"/>
      <c r="N29" s="11"/>
      <c r="O29" s="11"/>
      <c r="P29" s="12"/>
      <c r="Q29" s="11"/>
      <c r="R29" s="11"/>
    </row>
  </sheetData>
  <mergeCells count="1">
    <mergeCell ref="A1:R1"/>
  </mergeCells>
  <dataValidations count="1">
    <dataValidation type="list" allowBlank="1" sqref="L3:L29" xr:uid="{00000000-0002-0000-0500-000001000000}">
      <formula1>"Trong HĐCU,Ngoài HĐCU"</formula1>
      <formula2>0</formula2>
    </dataValidation>
  </dataValidations>
  <hyperlinks>
    <hyperlink ref="M3" r:id="rId1" xr:uid="{00000000-0004-0000-0500-000000000000}"/>
    <hyperlink ref="M4" r:id="rId2" xr:uid="{00000000-0004-0000-0500-000001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500-000000000000}">
          <x14:formula1>
            <xm:f>'DM_Danh muc'!$R$3:$R$4</xm:f>
          </x14:formula1>
          <x14:formula2>
            <xm:f>0</xm:f>
          </x14:formula2>
          <xm:sqref>F3:F29</xm:sqref>
        </x14:dataValidation>
        <x14:dataValidation type="list" allowBlank="1" xr:uid="{00000000-0002-0000-0500-000002000000}">
          <x14:formula1>
            <xm:f>'DM_Danh muc'!$L$3:$L$7</xm:f>
          </x14:formula1>
          <x14:formula2>
            <xm:f>0</xm:f>
          </x14:formula2>
          <xm:sqref>N3:N29</xm:sqref>
        </x14:dataValidation>
        <x14:dataValidation type="list" allowBlank="1" xr:uid="{00000000-0002-0000-0500-000003000000}">
          <x14:formula1>
            <xm:f>'DM_Danh muc'!$M$3:$M$5</xm:f>
          </x14:formula1>
          <x14:formula2>
            <xm:f>0</xm:f>
          </x14:formula2>
          <xm:sqref>Q3:Q29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O28"/>
  <sheetViews>
    <sheetView zoomScale="85" zoomScaleNormal="85" workbookViewId="0">
      <pane ySplit="2" topLeftCell="A3" activePane="bottomLeft" state="frozen"/>
      <selection pane="bottomLeft" activeCell="A3" sqref="A3:M3"/>
    </sheetView>
  </sheetViews>
  <sheetFormatPr defaultColWidth="8.7109375" defaultRowHeight="15"/>
  <cols>
    <col min="1" max="1" width="6" customWidth="1"/>
    <col min="2" max="2" width="15" customWidth="1"/>
    <col min="3" max="3" width="16" customWidth="1"/>
    <col min="4" max="4" width="12" customWidth="1"/>
    <col min="5" max="5" width="10" customWidth="1"/>
    <col min="6" max="6" width="20" customWidth="1"/>
    <col min="7" max="7" width="16" customWidth="1"/>
    <col min="8" max="8" width="26" customWidth="1"/>
    <col min="9" max="9" width="12" customWidth="1"/>
    <col min="10" max="10" width="16" customWidth="1"/>
    <col min="11" max="11" width="12" customWidth="1"/>
    <col min="12" max="12" width="11" customWidth="1"/>
    <col min="13" max="13" width="18" customWidth="1"/>
    <col min="14" max="14" width="13" customWidth="1"/>
    <col min="15" max="15" width="12" customWidth="1"/>
  </cols>
  <sheetData>
    <row r="1" spans="1:15" ht="15.75">
      <c r="A1" s="77" t="s">
        <v>338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5" ht="39.75" customHeight="1">
      <c r="A2" s="17" t="s">
        <v>197</v>
      </c>
      <c r="B2" s="17" t="s">
        <v>60</v>
      </c>
      <c r="C2" s="17" t="s">
        <v>198</v>
      </c>
      <c r="D2" s="17" t="s">
        <v>339</v>
      </c>
      <c r="E2" s="17" t="s">
        <v>340</v>
      </c>
      <c r="F2" s="17" t="s">
        <v>285</v>
      </c>
      <c r="G2" s="17" t="s">
        <v>341</v>
      </c>
      <c r="H2" s="17" t="s">
        <v>342</v>
      </c>
      <c r="I2" s="17" t="s">
        <v>343</v>
      </c>
      <c r="J2" s="17" t="s">
        <v>344</v>
      </c>
      <c r="K2" s="17" t="s">
        <v>205</v>
      </c>
      <c r="L2" s="17" t="s">
        <v>204</v>
      </c>
      <c r="M2" s="17" t="s">
        <v>345</v>
      </c>
      <c r="N2" s="17" t="s">
        <v>346</v>
      </c>
      <c r="O2" s="17" t="s">
        <v>291</v>
      </c>
    </row>
    <row r="3" spans="1:15" ht="30" customHeight="1">
      <c r="A3" s="7">
        <v>1</v>
      </c>
      <c r="B3" s="8" t="s">
        <v>132</v>
      </c>
      <c r="C3" s="8" t="s">
        <v>347</v>
      </c>
      <c r="D3" s="10">
        <v>46189</v>
      </c>
      <c r="E3" s="15">
        <v>5</v>
      </c>
      <c r="F3" s="8" t="s">
        <v>348</v>
      </c>
      <c r="G3" s="8" t="s">
        <v>349</v>
      </c>
      <c r="H3" s="8" t="s">
        <v>350</v>
      </c>
      <c r="I3" s="10">
        <v>46203</v>
      </c>
      <c r="J3" s="9" t="s">
        <v>351</v>
      </c>
      <c r="K3" s="8" t="s">
        <v>129</v>
      </c>
      <c r="L3" s="8" t="s">
        <v>352</v>
      </c>
      <c r="M3" s="8" t="s">
        <v>353</v>
      </c>
      <c r="N3" s="8" t="s">
        <v>354</v>
      </c>
      <c r="O3" s="8"/>
    </row>
    <row r="4" spans="1:15">
      <c r="A4" s="11"/>
      <c r="B4" s="11"/>
      <c r="C4" s="11"/>
      <c r="D4" s="12"/>
      <c r="E4" s="16"/>
      <c r="F4" s="11"/>
      <c r="G4" s="11"/>
      <c r="H4" s="11"/>
      <c r="I4" s="12"/>
      <c r="J4" s="11"/>
      <c r="K4" s="11"/>
      <c r="L4" s="11"/>
      <c r="M4" s="11"/>
      <c r="N4" s="11"/>
      <c r="O4" s="11"/>
    </row>
    <row r="5" spans="1:15">
      <c r="A5" s="11"/>
      <c r="B5" s="11"/>
      <c r="C5" s="11"/>
      <c r="D5" s="12"/>
      <c r="E5" s="16"/>
      <c r="F5" s="11"/>
      <c r="G5" s="11"/>
      <c r="H5" s="11"/>
      <c r="I5" s="12"/>
      <c r="J5" s="11"/>
      <c r="K5" s="11"/>
      <c r="L5" s="11"/>
      <c r="M5" s="11"/>
      <c r="N5" s="11"/>
      <c r="O5" s="11"/>
    </row>
    <row r="6" spans="1:15">
      <c r="A6" s="11"/>
      <c r="B6" s="11"/>
      <c r="C6" s="11"/>
      <c r="D6" s="12"/>
      <c r="E6" s="16"/>
      <c r="F6" s="11"/>
      <c r="G6" s="11"/>
      <c r="H6" s="11"/>
      <c r="I6" s="12"/>
      <c r="J6" s="11"/>
      <c r="K6" s="11"/>
      <c r="L6" s="11"/>
      <c r="M6" s="11"/>
      <c r="N6" s="11"/>
      <c r="O6" s="11"/>
    </row>
    <row r="7" spans="1:15">
      <c r="A7" s="11"/>
      <c r="B7" s="11"/>
      <c r="C7" s="11"/>
      <c r="D7" s="12"/>
      <c r="E7" s="16"/>
      <c r="F7" s="11"/>
      <c r="G7" s="11"/>
      <c r="H7" s="11"/>
      <c r="I7" s="12"/>
      <c r="J7" s="11"/>
      <c r="K7" s="11"/>
      <c r="L7" s="11"/>
      <c r="M7" s="11"/>
      <c r="N7" s="11"/>
      <c r="O7" s="11"/>
    </row>
    <row r="8" spans="1:15">
      <c r="A8" s="11"/>
      <c r="B8" s="11"/>
      <c r="C8" s="11"/>
      <c r="D8" s="12"/>
      <c r="E8" s="16"/>
      <c r="F8" s="11"/>
      <c r="G8" s="11"/>
      <c r="H8" s="11"/>
      <c r="I8" s="12"/>
      <c r="J8" s="11"/>
      <c r="K8" s="11"/>
      <c r="L8" s="11"/>
      <c r="M8" s="11"/>
      <c r="N8" s="11"/>
      <c r="O8" s="11"/>
    </row>
    <row r="9" spans="1:15">
      <c r="A9" s="11"/>
      <c r="B9" s="11"/>
      <c r="C9" s="11"/>
      <c r="D9" s="12"/>
      <c r="E9" s="16"/>
      <c r="F9" s="11"/>
      <c r="G9" s="11"/>
      <c r="H9" s="11"/>
      <c r="I9" s="12"/>
      <c r="J9" s="11"/>
      <c r="K9" s="11"/>
      <c r="L9" s="11"/>
      <c r="M9" s="11"/>
      <c r="N9" s="11"/>
      <c r="O9" s="11"/>
    </row>
    <row r="10" spans="1:15">
      <c r="A10" s="11"/>
      <c r="B10" s="11"/>
      <c r="C10" s="11"/>
      <c r="D10" s="12"/>
      <c r="E10" s="16"/>
      <c r="F10" s="11"/>
      <c r="G10" s="11"/>
      <c r="H10" s="11"/>
      <c r="I10" s="12"/>
      <c r="J10" s="11"/>
      <c r="K10" s="11"/>
      <c r="L10" s="11"/>
      <c r="M10" s="11"/>
      <c r="N10" s="11"/>
      <c r="O10" s="11"/>
    </row>
    <row r="11" spans="1:15">
      <c r="A11" s="11"/>
      <c r="B11" s="11"/>
      <c r="C11" s="11"/>
      <c r="D11" s="12"/>
      <c r="E11" s="16"/>
      <c r="F11" s="11"/>
      <c r="G11" s="11"/>
      <c r="H11" s="11"/>
      <c r="I11" s="12"/>
      <c r="J11" s="11"/>
      <c r="K11" s="11"/>
      <c r="L11" s="11"/>
      <c r="M11" s="11"/>
      <c r="N11" s="11"/>
      <c r="O11" s="11"/>
    </row>
    <row r="12" spans="1:15">
      <c r="A12" s="11"/>
      <c r="B12" s="11"/>
      <c r="C12" s="11"/>
      <c r="D12" s="12"/>
      <c r="E12" s="16"/>
      <c r="F12" s="11"/>
      <c r="G12" s="11"/>
      <c r="H12" s="11"/>
      <c r="I12" s="12"/>
      <c r="J12" s="11"/>
      <c r="K12" s="11"/>
      <c r="L12" s="11"/>
      <c r="M12" s="11"/>
      <c r="N12" s="11"/>
      <c r="O12" s="11"/>
    </row>
    <row r="13" spans="1:15">
      <c r="A13" s="11"/>
      <c r="B13" s="11"/>
      <c r="C13" s="11"/>
      <c r="D13" s="12"/>
      <c r="E13" s="16"/>
      <c r="F13" s="11"/>
      <c r="G13" s="11"/>
      <c r="H13" s="11"/>
      <c r="I13" s="12"/>
      <c r="J13" s="11"/>
      <c r="K13" s="11"/>
      <c r="L13" s="11"/>
      <c r="M13" s="11"/>
      <c r="N13" s="11"/>
      <c r="O13" s="11"/>
    </row>
    <row r="14" spans="1:15">
      <c r="A14" s="11"/>
      <c r="B14" s="11"/>
      <c r="C14" s="11"/>
      <c r="D14" s="12"/>
      <c r="E14" s="16"/>
      <c r="F14" s="11"/>
      <c r="G14" s="11"/>
      <c r="H14" s="11"/>
      <c r="I14" s="12"/>
      <c r="J14" s="11"/>
      <c r="K14" s="11"/>
      <c r="L14" s="11"/>
      <c r="M14" s="11"/>
      <c r="N14" s="11"/>
      <c r="O14" s="11"/>
    </row>
    <row r="15" spans="1:15">
      <c r="A15" s="11"/>
      <c r="B15" s="11"/>
      <c r="C15" s="11"/>
      <c r="D15" s="12"/>
      <c r="E15" s="16"/>
      <c r="F15" s="11"/>
      <c r="G15" s="11"/>
      <c r="H15" s="11"/>
      <c r="I15" s="12"/>
      <c r="J15" s="11"/>
      <c r="K15" s="11"/>
      <c r="L15" s="11"/>
      <c r="M15" s="11"/>
      <c r="N15" s="11"/>
      <c r="O15" s="11"/>
    </row>
    <row r="16" spans="1:15">
      <c r="A16" s="11"/>
      <c r="B16" s="11"/>
      <c r="C16" s="11"/>
      <c r="D16" s="12"/>
      <c r="E16" s="16"/>
      <c r="F16" s="11"/>
      <c r="G16" s="11"/>
      <c r="H16" s="11"/>
      <c r="I16" s="12"/>
      <c r="J16" s="11"/>
      <c r="K16" s="11"/>
      <c r="L16" s="11"/>
      <c r="M16" s="11"/>
      <c r="N16" s="11"/>
      <c r="O16" s="11"/>
    </row>
    <row r="17" spans="1:15">
      <c r="A17" s="11"/>
      <c r="B17" s="11"/>
      <c r="C17" s="11"/>
      <c r="D17" s="12"/>
      <c r="E17" s="16"/>
      <c r="F17" s="11"/>
      <c r="G17" s="11"/>
      <c r="H17" s="11"/>
      <c r="I17" s="12"/>
      <c r="J17" s="11"/>
      <c r="K17" s="11"/>
      <c r="L17" s="11"/>
      <c r="M17" s="11"/>
      <c r="N17" s="11"/>
      <c r="O17" s="11"/>
    </row>
    <row r="18" spans="1:15">
      <c r="A18" s="11"/>
      <c r="B18" s="11"/>
      <c r="C18" s="11"/>
      <c r="D18" s="12"/>
      <c r="E18" s="16"/>
      <c r="F18" s="11"/>
      <c r="G18" s="11"/>
      <c r="H18" s="11"/>
      <c r="I18" s="12"/>
      <c r="J18" s="11"/>
      <c r="K18" s="11"/>
      <c r="L18" s="11"/>
      <c r="M18" s="11"/>
      <c r="N18" s="11"/>
      <c r="O18" s="11"/>
    </row>
    <row r="19" spans="1:15">
      <c r="A19" s="11"/>
      <c r="B19" s="11"/>
      <c r="C19" s="11"/>
      <c r="D19" s="12"/>
      <c r="E19" s="16"/>
      <c r="F19" s="11"/>
      <c r="G19" s="11"/>
      <c r="H19" s="11"/>
      <c r="I19" s="12"/>
      <c r="J19" s="11"/>
      <c r="K19" s="11"/>
      <c r="L19" s="11"/>
      <c r="M19" s="11"/>
      <c r="N19" s="11"/>
      <c r="O19" s="11"/>
    </row>
    <row r="20" spans="1:15">
      <c r="A20" s="11"/>
      <c r="B20" s="11"/>
      <c r="C20" s="11"/>
      <c r="D20" s="12"/>
      <c r="E20" s="16"/>
      <c r="F20" s="11"/>
      <c r="G20" s="11"/>
      <c r="H20" s="11"/>
      <c r="I20" s="12"/>
      <c r="J20" s="11"/>
      <c r="K20" s="11"/>
      <c r="L20" s="11"/>
      <c r="M20" s="11"/>
      <c r="N20" s="11"/>
      <c r="O20" s="11"/>
    </row>
    <row r="21" spans="1:15">
      <c r="A21" s="11"/>
      <c r="B21" s="11"/>
      <c r="C21" s="11"/>
      <c r="D21" s="12"/>
      <c r="E21" s="16"/>
      <c r="F21" s="11"/>
      <c r="G21" s="11"/>
      <c r="H21" s="11"/>
      <c r="I21" s="12"/>
      <c r="J21" s="11"/>
      <c r="K21" s="11"/>
      <c r="L21" s="11"/>
      <c r="M21" s="11"/>
      <c r="N21" s="11"/>
      <c r="O21" s="11"/>
    </row>
    <row r="22" spans="1:15">
      <c r="A22" s="11"/>
      <c r="B22" s="11"/>
      <c r="C22" s="11"/>
      <c r="D22" s="12"/>
      <c r="E22" s="16"/>
      <c r="F22" s="11"/>
      <c r="G22" s="11"/>
      <c r="H22" s="11"/>
      <c r="I22" s="12"/>
      <c r="J22" s="11"/>
      <c r="K22" s="11"/>
      <c r="L22" s="11"/>
      <c r="M22" s="11"/>
      <c r="N22" s="11"/>
      <c r="O22" s="11"/>
    </row>
    <row r="23" spans="1:15">
      <c r="A23" s="11"/>
      <c r="B23" s="11"/>
      <c r="C23" s="11"/>
      <c r="D23" s="12"/>
      <c r="E23" s="16"/>
      <c r="F23" s="11"/>
      <c r="G23" s="11"/>
      <c r="H23" s="11"/>
      <c r="I23" s="12"/>
      <c r="J23" s="11"/>
      <c r="K23" s="11"/>
      <c r="L23" s="11"/>
      <c r="M23" s="11"/>
      <c r="N23" s="11"/>
      <c r="O23" s="11"/>
    </row>
    <row r="24" spans="1:15">
      <c r="A24" s="11"/>
      <c r="B24" s="11"/>
      <c r="C24" s="11"/>
      <c r="D24" s="12"/>
      <c r="E24" s="16"/>
      <c r="F24" s="11"/>
      <c r="G24" s="11"/>
      <c r="H24" s="11"/>
      <c r="I24" s="12"/>
      <c r="J24" s="11"/>
      <c r="K24" s="11"/>
      <c r="L24" s="11"/>
      <c r="M24" s="11"/>
      <c r="N24" s="11"/>
      <c r="O24" s="11"/>
    </row>
    <row r="25" spans="1:15">
      <c r="A25" s="11"/>
      <c r="B25" s="11"/>
      <c r="C25" s="11"/>
      <c r="D25" s="12"/>
      <c r="E25" s="16"/>
      <c r="F25" s="11"/>
      <c r="G25" s="11"/>
      <c r="H25" s="11"/>
      <c r="I25" s="12"/>
      <c r="J25" s="11"/>
      <c r="K25" s="11"/>
      <c r="L25" s="11"/>
      <c r="M25" s="11"/>
      <c r="N25" s="11"/>
      <c r="O25" s="11"/>
    </row>
    <row r="26" spans="1:15">
      <c r="A26" s="11"/>
      <c r="B26" s="11"/>
      <c r="C26" s="11"/>
      <c r="D26" s="12"/>
      <c r="E26" s="16"/>
      <c r="F26" s="11"/>
      <c r="G26" s="11"/>
      <c r="H26" s="11"/>
      <c r="I26" s="12"/>
      <c r="J26" s="11"/>
      <c r="K26" s="11"/>
      <c r="L26" s="11"/>
      <c r="M26" s="11"/>
      <c r="N26" s="11"/>
      <c r="O26" s="11"/>
    </row>
    <row r="27" spans="1:15">
      <c r="A27" s="11"/>
      <c r="B27" s="11"/>
      <c r="C27" s="11"/>
      <c r="D27" s="12"/>
      <c r="E27" s="16"/>
      <c r="F27" s="11"/>
      <c r="G27" s="11"/>
      <c r="H27" s="11"/>
      <c r="I27" s="12"/>
      <c r="J27" s="11"/>
      <c r="K27" s="11"/>
      <c r="L27" s="11"/>
      <c r="M27" s="11"/>
      <c r="N27" s="11"/>
      <c r="O27" s="11"/>
    </row>
    <row r="28" spans="1:15">
      <c r="A28" s="11"/>
      <c r="B28" s="11"/>
      <c r="C28" s="11"/>
      <c r="D28" s="12"/>
      <c r="E28" s="16"/>
      <c r="F28" s="11"/>
      <c r="G28" s="11"/>
      <c r="H28" s="11"/>
      <c r="I28" s="12"/>
      <c r="J28" s="11"/>
      <c r="K28" s="11"/>
      <c r="L28" s="11"/>
      <c r="M28" s="11"/>
      <c r="N28" s="11"/>
      <c r="O28" s="11"/>
    </row>
  </sheetData>
  <mergeCells count="1">
    <mergeCell ref="A1:O1"/>
  </mergeCells>
  <hyperlinks>
    <hyperlink ref="J3" r:id="rId1" xr:uid="{00000000-0004-0000-0600-000000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600-000000000000}">
          <x14:formula1>
            <xm:f>'DM_Danh muc'!$S$3:$S$7</xm:f>
          </x14:formula1>
          <x14:formula2>
            <xm:f>0</xm:f>
          </x14:formula2>
          <xm:sqref>G3:G28</xm:sqref>
        </x14:dataValidation>
        <x14:dataValidation type="list" allowBlank="1" xr:uid="{00000000-0002-0000-0600-000001000000}">
          <x14:formula1>
            <xm:f>'DM_Danh muc'!$L$3:$L$7</xm:f>
          </x14:formula1>
          <x14:formula2>
            <xm:f>0</xm:f>
          </x14:formula2>
          <xm:sqref>K3:K28</xm:sqref>
        </x14:dataValidation>
        <x14:dataValidation type="list" allowBlank="1" xr:uid="{00000000-0002-0000-0600-000002000000}">
          <x14:formula1>
            <xm:f>'DM_Danh muc'!$N$3:$N$5</xm:f>
          </x14:formula1>
          <x14:formula2>
            <xm:f>0</xm:f>
          </x14:formula2>
          <xm:sqref>N3:N28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A1:T10"/>
  <sheetViews>
    <sheetView zoomScale="115" zoomScaleNormal="115" workbookViewId="0">
      <pane ySplit="2" topLeftCell="A3" activePane="bottomLeft" state="frozen"/>
      <selection pane="bottomLeft" sqref="A1:T1"/>
    </sheetView>
  </sheetViews>
  <sheetFormatPr defaultColWidth="8.7109375" defaultRowHeight="15"/>
  <cols>
    <col min="1" max="1" width="17" customWidth="1"/>
    <col min="2" max="2" width="12.140625" customWidth="1"/>
    <col min="3" max="8" width="17" customWidth="1"/>
    <col min="9" max="9" width="12.140625" customWidth="1"/>
    <col min="10" max="10" width="17" customWidth="1"/>
    <col min="11" max="11" width="14" customWidth="1"/>
    <col min="12" max="12" width="17.42578125" customWidth="1"/>
    <col min="13" max="14" width="17" customWidth="1"/>
    <col min="15" max="15" width="10.7109375" customWidth="1"/>
    <col min="16" max="20" width="17" customWidth="1"/>
  </cols>
  <sheetData>
    <row r="1" spans="1:20" ht="15.75">
      <c r="A1" s="77" t="s">
        <v>355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</row>
    <row r="2" spans="1:20" ht="25.5" customHeight="1">
      <c r="A2" s="17" t="s">
        <v>69</v>
      </c>
      <c r="B2" s="17" t="s">
        <v>70</v>
      </c>
      <c r="C2" s="17" t="s">
        <v>71</v>
      </c>
      <c r="D2" s="17" t="s">
        <v>73</v>
      </c>
      <c r="E2" s="17" t="s">
        <v>75</v>
      </c>
      <c r="F2" s="17" t="s">
        <v>77</v>
      </c>
      <c r="G2" s="17" t="s">
        <v>356</v>
      </c>
      <c r="H2" s="17" t="s">
        <v>83</v>
      </c>
      <c r="I2" s="17" t="s">
        <v>357</v>
      </c>
      <c r="J2" s="17" t="s">
        <v>62</v>
      </c>
      <c r="K2" s="17" t="s">
        <v>358</v>
      </c>
      <c r="L2" s="17" t="s">
        <v>359</v>
      </c>
      <c r="M2" s="17" t="s">
        <v>318</v>
      </c>
      <c r="N2" s="17" t="s">
        <v>360</v>
      </c>
      <c r="O2" s="17" t="s">
        <v>361</v>
      </c>
      <c r="P2" s="17" t="s">
        <v>362</v>
      </c>
      <c r="Q2" s="17" t="s">
        <v>363</v>
      </c>
      <c r="R2" s="17" t="s">
        <v>364</v>
      </c>
      <c r="S2" s="17" t="s">
        <v>341</v>
      </c>
      <c r="T2" s="17" t="s">
        <v>256</v>
      </c>
    </row>
    <row r="3" spans="1:20">
      <c r="A3" s="18" t="s">
        <v>365</v>
      </c>
      <c r="B3" s="18" t="s">
        <v>366</v>
      </c>
      <c r="C3" s="18" t="s">
        <v>367</v>
      </c>
      <c r="D3" s="18" t="s">
        <v>368</v>
      </c>
      <c r="E3" s="18" t="s">
        <v>192</v>
      </c>
      <c r="F3" s="18" t="s">
        <v>369</v>
      </c>
      <c r="G3" s="18" t="s">
        <v>194</v>
      </c>
      <c r="H3" s="18" t="s">
        <v>195</v>
      </c>
      <c r="I3" s="18" t="s">
        <v>370</v>
      </c>
      <c r="J3" s="18" t="s">
        <v>121</v>
      </c>
      <c r="K3" s="18" t="s">
        <v>371</v>
      </c>
      <c r="L3" s="18" t="s">
        <v>369</v>
      </c>
      <c r="M3" s="18" t="s">
        <v>327</v>
      </c>
      <c r="N3" s="18" t="s">
        <v>354</v>
      </c>
      <c r="O3" s="18" t="s">
        <v>207</v>
      </c>
      <c r="P3" s="18" t="s">
        <v>261</v>
      </c>
      <c r="Q3" s="18" t="s">
        <v>294</v>
      </c>
      <c r="R3" s="18" t="s">
        <v>321</v>
      </c>
      <c r="S3" s="18" t="s">
        <v>349</v>
      </c>
      <c r="T3" s="18" t="s">
        <v>263</v>
      </c>
    </row>
    <row r="4" spans="1:20">
      <c r="A4" s="18" t="s">
        <v>372</v>
      </c>
      <c r="B4" s="18" t="s">
        <v>193</v>
      </c>
      <c r="C4" s="18" t="s">
        <v>193</v>
      </c>
      <c r="D4" s="18" t="s">
        <v>373</v>
      </c>
      <c r="E4" s="18" t="s">
        <v>374</v>
      </c>
      <c r="F4" s="18" t="s">
        <v>193</v>
      </c>
      <c r="G4" s="18" t="s">
        <v>375</v>
      </c>
      <c r="H4" s="18" t="s">
        <v>376</v>
      </c>
      <c r="I4" s="18" t="s">
        <v>377</v>
      </c>
      <c r="J4" s="18" t="s">
        <v>134</v>
      </c>
      <c r="K4" s="18" t="s">
        <v>142</v>
      </c>
      <c r="L4" s="18" t="s">
        <v>193</v>
      </c>
      <c r="M4" s="18" t="s">
        <v>378</v>
      </c>
      <c r="N4" s="18" t="s">
        <v>379</v>
      </c>
      <c r="O4" s="18" t="s">
        <v>212</v>
      </c>
      <c r="P4" s="18" t="s">
        <v>267</v>
      </c>
      <c r="Q4" s="18" t="s">
        <v>302</v>
      </c>
      <c r="R4" s="18" t="s">
        <v>330</v>
      </c>
      <c r="S4" s="18" t="s">
        <v>380</v>
      </c>
      <c r="T4" s="18" t="s">
        <v>381</v>
      </c>
    </row>
    <row r="5" spans="1:20">
      <c r="A5" s="18" t="s">
        <v>382</v>
      </c>
      <c r="B5" s="18" t="s">
        <v>125</v>
      </c>
      <c r="C5" s="18" t="s">
        <v>383</v>
      </c>
      <c r="D5" s="18" t="s">
        <v>191</v>
      </c>
      <c r="E5" s="18" t="s">
        <v>128</v>
      </c>
      <c r="F5" s="18" t="s">
        <v>276</v>
      </c>
      <c r="G5" s="18" t="s">
        <v>130</v>
      </c>
      <c r="H5" s="18" t="s">
        <v>129</v>
      </c>
      <c r="I5" s="18" t="s">
        <v>384</v>
      </c>
      <c r="J5" s="18" t="s">
        <v>187</v>
      </c>
      <c r="K5" s="18" t="s">
        <v>147</v>
      </c>
      <c r="L5" s="18" t="s">
        <v>276</v>
      </c>
      <c r="M5" s="18" t="s">
        <v>337</v>
      </c>
      <c r="N5" s="18" t="s">
        <v>385</v>
      </c>
      <c r="O5" s="18" t="s">
        <v>215</v>
      </c>
      <c r="P5" s="18" t="s">
        <v>270</v>
      </c>
      <c r="Q5" s="18" t="s">
        <v>386</v>
      </c>
      <c r="S5" s="18" t="s">
        <v>387</v>
      </c>
    </row>
    <row r="6" spans="1:20">
      <c r="A6" s="18" t="s">
        <v>190</v>
      </c>
      <c r="C6" s="18" t="s">
        <v>126</v>
      </c>
      <c r="D6" s="18" t="s">
        <v>127</v>
      </c>
      <c r="E6" s="18" t="s">
        <v>388</v>
      </c>
      <c r="F6" s="18" t="s">
        <v>129</v>
      </c>
      <c r="L6" s="18" t="s">
        <v>129</v>
      </c>
      <c r="O6" s="18" t="s">
        <v>218</v>
      </c>
      <c r="P6" s="18" t="s">
        <v>273</v>
      </c>
      <c r="Q6" s="18" t="s">
        <v>389</v>
      </c>
      <c r="S6" s="18" t="s">
        <v>390</v>
      </c>
    </row>
    <row r="7" spans="1:20">
      <c r="A7" s="18" t="s">
        <v>124</v>
      </c>
      <c r="D7" s="18" t="s">
        <v>391</v>
      </c>
      <c r="L7" s="18" t="s">
        <v>392</v>
      </c>
      <c r="O7" s="18" t="s">
        <v>221</v>
      </c>
      <c r="P7" s="18" t="s">
        <v>277</v>
      </c>
      <c r="Q7" s="18" t="s">
        <v>393</v>
      </c>
      <c r="S7" s="18" t="s">
        <v>394</v>
      </c>
    </row>
    <row r="8" spans="1:20">
      <c r="O8" s="18" t="s">
        <v>225</v>
      </c>
    </row>
    <row r="9" spans="1:20">
      <c r="O9" s="18" t="s">
        <v>229</v>
      </c>
    </row>
    <row r="10" spans="1:20">
      <c r="O10" s="18" t="s">
        <v>232</v>
      </c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2026-06-19T02:09:51Z</dcterms:created>
  <dcterms:modified xsi:type="dcterms:W3CDTF">2026-06-24T12:55:10Z</dcterms:modified>
  <cp:category/>
  <cp:contentStatus/>
</cp:coreProperties>
</file>